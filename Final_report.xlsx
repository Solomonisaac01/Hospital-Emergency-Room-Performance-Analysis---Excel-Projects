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66925"/>
  <mc:AlternateContent xmlns:mc="http://schemas.openxmlformats.org/markup-compatibility/2006">
    <mc:Choice Requires="x15">
      <x15ac:absPath xmlns:x15ac="http://schemas.microsoft.com/office/spreadsheetml/2010/11/ac" url="C:\Users\USER\Desktop\besent\Excel\excel 4(Hospital_Patient_Bed_Projects)\"/>
    </mc:Choice>
  </mc:AlternateContent>
  <xr:revisionPtr revIDLastSave="0" documentId="13_ncr:1_{909A6FF6-5D8E-4EF5-BF2C-B62F5F74A600}" xr6:coauthVersionLast="47" xr6:coauthVersionMax="47" xr10:uidLastSave="{00000000-0000-0000-0000-000000000000}"/>
  <bookViews>
    <workbookView xWindow="-110" yWindow="-110" windowWidth="19420" windowHeight="11020" activeTab="1" xr2:uid="{59689D35-6280-4112-AB81-B7ECD971C5C0}"/>
  </bookViews>
  <sheets>
    <sheet name="Pivote report" sheetId="1" r:id="rId1"/>
    <sheet name="Dashboard" sheetId="2" r:id="rId2"/>
  </sheets>
  <definedNames>
    <definedName name="Slicer_Date__Month">#N/A</definedName>
    <definedName name="Slicer_Date__Year">#N/A</definedName>
  </definedNames>
  <calcPr calcId="191029"/>
  <pivotCaches>
    <pivotCache cacheId="591" r:id="rId3"/>
    <pivotCache cacheId="594" r:id="rId4"/>
    <pivotCache cacheId="597" r:id="rId5"/>
    <pivotCache cacheId="600" r:id="rId6"/>
    <pivotCache cacheId="603" r:id="rId7"/>
    <pivotCache cacheId="606" r:id="rId8"/>
    <pivotCache cacheId="609" r:id="rId9"/>
    <pivotCache cacheId="612" r:id="rId10"/>
    <pivotCache cacheId="615" r:id="rId11"/>
    <pivotCache cacheId="618" r:id="rId12"/>
    <pivotCache cacheId="621" r:id="rId13"/>
    <pivotCache cacheId="624" r:id="rId14"/>
  </pivotCaches>
  <extLst>
    <ext xmlns:x14="http://schemas.microsoft.com/office/spreadsheetml/2009/9/main" uri="{876F7934-8845-4945-9796-88D515C7AA90}">
      <x14:pivotCaches>
        <pivotCache cacheId="12" r:id="rId15"/>
      </x14:pivotCaches>
    </ex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66d9432b-8d64-4b90-8e05-e2714c0a290a" name="Hospital Emergency Room Data" connection="Query - Hospital Emergency Room Data"/>
          <x15:modelTable id="Calendar_Table_07929c61-9ec4-4a20-bf44-2c13489dc2b5"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384" i="1" l="1"/>
  <c r="B384" i="1"/>
  <c r="C384" i="1"/>
  <c r="B385" i="1"/>
  <c r="C385" i="1"/>
  <c r="A38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D61B1DB-E83A-4D87-B3F6-05C853F61404}" name="Query - Calendar_Table" description="Connection to the 'Calendar_Table' query in the workbook." type="100" refreshedVersion="7" minRefreshableVersion="5">
    <extLst>
      <ext xmlns:x15="http://schemas.microsoft.com/office/spreadsheetml/2010/11/main" uri="{DE250136-89BD-433C-8126-D09CA5730AF9}">
        <x15:connection id="ab6ac115-cb43-4b60-a12c-5bf08632ffb3"/>
      </ext>
    </extLst>
  </connection>
  <connection id="2" xr16:uid="{0E0AD41A-5E7B-41B5-90EB-8366859EA510}" name="Query - Hospital Emergency Room Data" description="Connection to the 'Hospital Emergency Room Data' query in the workbook." type="100" refreshedVersion="7" minRefreshableVersion="5">
    <extLst>
      <ext xmlns:x15="http://schemas.microsoft.com/office/spreadsheetml/2010/11/main" uri="{DE250136-89BD-433C-8126-D09CA5730AF9}">
        <x15:connection id="a06aadde-2668-464b-b8a5-5039c2fb85ab"/>
      </ext>
    </extLst>
  </connection>
  <connection id="3" xr16:uid="{B7CC860E-B16A-4956-BC48-06CAAD5C3FC9}"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<sst xmlns="http://schemas.openxmlformats.org/spreadsheetml/2006/main" count="794" uniqueCount="411">
  <si>
    <t xml:space="preserve"> </t>
  </si>
  <si>
    <t>Row Labels</t>
  </si>
  <si>
    <t>Grand Total</t>
  </si>
  <si>
    <t>Distinct Count of Patient Id</t>
  </si>
  <si>
    <t>Number of patient</t>
  </si>
  <si>
    <t>Average of Patient Waittime</t>
  </si>
  <si>
    <t>Average of Patient Satisfaction Score</t>
  </si>
  <si>
    <t>1-Dec</t>
  </si>
  <si>
    <t>2-Dec</t>
  </si>
  <si>
    <t>3-Dec</t>
  </si>
  <si>
    <t>4-Dec</t>
  </si>
  <si>
    <t>5-Dec</t>
  </si>
  <si>
    <t>6-Dec</t>
  </si>
  <si>
    <t>7-Dec</t>
  </si>
  <si>
    <t>8-Dec</t>
  </si>
  <si>
    <t>9-Dec</t>
  </si>
  <si>
    <t>10-Dec</t>
  </si>
  <si>
    <t>11-Dec</t>
  </si>
  <si>
    <t>12-Dec</t>
  </si>
  <si>
    <t>13-Dec</t>
  </si>
  <si>
    <t>14-Dec</t>
  </si>
  <si>
    <t>15-Dec</t>
  </si>
  <si>
    <t>16-Dec</t>
  </si>
  <si>
    <t>17-Dec</t>
  </si>
  <si>
    <t>18-Dec</t>
  </si>
  <si>
    <t>19-Dec</t>
  </si>
  <si>
    <t>20-Dec</t>
  </si>
  <si>
    <t>21-Dec</t>
  </si>
  <si>
    <t>22-Dec</t>
  </si>
  <si>
    <t>23-Dec</t>
  </si>
  <si>
    <t>24-Dec</t>
  </si>
  <si>
    <t>25-Dec</t>
  </si>
  <si>
    <t>26-Dec</t>
  </si>
  <si>
    <t>27-Dec</t>
  </si>
  <si>
    <t>28-Dec</t>
  </si>
  <si>
    <t>29-Dec</t>
  </si>
  <si>
    <t>30-Dec</t>
  </si>
  <si>
    <t>31-Dec</t>
  </si>
  <si>
    <t>Daily trends of number of patients</t>
  </si>
  <si>
    <t>Average wait time</t>
  </si>
  <si>
    <t>Count of Patient Admission Flag</t>
  </si>
  <si>
    <t>Admitted</t>
  </si>
  <si>
    <t>Not Admitted</t>
  </si>
  <si>
    <t>Count of Patient Admission Flag2</t>
  </si>
  <si>
    <t>Admission Status</t>
  </si>
  <si>
    <t>No. of Patient</t>
  </si>
  <si>
    <t>% Status</t>
  </si>
  <si>
    <t>0-09</t>
  </si>
  <si>
    <t>10-19</t>
  </si>
  <si>
    <t>20-29</t>
  </si>
  <si>
    <t>30-39</t>
  </si>
  <si>
    <t>40-49</t>
  </si>
  <si>
    <t>50-59</t>
  </si>
  <si>
    <t>60-69</t>
  </si>
  <si>
    <t>70-79</t>
  </si>
  <si>
    <t>Count of Age Group</t>
  </si>
  <si>
    <t>age group by analysis</t>
  </si>
  <si>
    <t>Delay</t>
  </si>
  <si>
    <t>Ontime</t>
  </si>
  <si>
    <t>Count of Patient attend status</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</si>
  <si>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</si>
  <si>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</si>
  <si>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</si>
  <si>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</si>
  <si>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</si>
  <si>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</si>
  <si>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</si>
  <si>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</si>
  <si>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</si>
  <si>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</si>
  <si>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</si>
  <si>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</si>
  <si>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</si>
  <si>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</si>
  <si>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</si>
  <si>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</si>
  <si>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</si>
  <si>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</si>
  <si>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</si>
  <si>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</si>
  <si>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</si>
  <si>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</si>
  <si>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</si>
  <si>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</si>
  <si>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</si>
  <si>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</si>
  <si>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</si>
  <si>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</si>
  <si>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</si>
  <si>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</si>
  <si>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</si>
  <si>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1-Feb</t>
  </si>
  <si>
    <t>2-Feb</t>
  </si>
  <si>
    <t>3-Feb</t>
  </si>
  <si>
    <t>4-Feb</t>
  </si>
  <si>
    <t>5-Feb</t>
  </si>
  <si>
    <t>6-Feb</t>
  </si>
  <si>
    <t>7-Feb</t>
  </si>
  <si>
    <t>8-Feb</t>
  </si>
  <si>
    <t>9-Feb</t>
  </si>
  <si>
    <t>10-Feb</t>
  </si>
  <si>
    <t>11-Feb</t>
  </si>
  <si>
    <t>12-Feb</t>
  </si>
  <si>
    <t>13-Feb</t>
  </si>
  <si>
    <t>14-Feb</t>
  </si>
  <si>
    <t>15-Feb</t>
  </si>
  <si>
    <t>16-Feb</t>
  </si>
  <si>
    <t>17-Feb</t>
  </si>
  <si>
    <t>18-Feb</t>
  </si>
  <si>
    <t>19-Feb</t>
  </si>
  <si>
    <t>20-Feb</t>
  </si>
  <si>
    <t>21-Feb</t>
  </si>
  <si>
    <t>22-Feb</t>
  </si>
  <si>
    <t>23-Feb</t>
  </si>
  <si>
    <t>24-Feb</t>
  </si>
  <si>
    <t>25-Feb</t>
  </si>
  <si>
    <t>26-Feb</t>
  </si>
  <si>
    <t>27-Feb</t>
  </si>
  <si>
    <t>28-Feb</t>
  </si>
  <si>
    <t>29-Feb</t>
  </si>
  <si>
    <t>1-Mar</t>
  </si>
  <si>
    <t>2-Mar</t>
  </si>
  <si>
    <t>3-Mar</t>
  </si>
  <si>
    <t>4-Mar</t>
  </si>
  <si>
    <t>5-Mar</t>
  </si>
  <si>
    <t>6-Mar</t>
  </si>
  <si>
    <t>7-Mar</t>
  </si>
  <si>
    <t>8-Mar</t>
  </si>
  <si>
    <t>9-Mar</t>
  </si>
  <si>
    <t>10-Mar</t>
  </si>
  <si>
    <t>11-Mar</t>
  </si>
  <si>
    <t>12-Mar</t>
  </si>
  <si>
    <t>13-Mar</t>
  </si>
  <si>
    <t>14-Mar</t>
  </si>
  <si>
    <t>15-Mar</t>
  </si>
  <si>
    <t>16-Mar</t>
  </si>
  <si>
    <t>17-Mar</t>
  </si>
  <si>
    <t>18-Mar</t>
  </si>
  <si>
    <t>19-Mar</t>
  </si>
  <si>
    <t>20-Mar</t>
  </si>
  <si>
    <t>21-Mar</t>
  </si>
  <si>
    <t>22-Mar</t>
  </si>
  <si>
    <t>23-Mar</t>
  </si>
  <si>
    <t>24-Mar</t>
  </si>
  <si>
    <t>25-Mar</t>
  </si>
  <si>
    <t>26-Mar</t>
  </si>
  <si>
    <t>27-Mar</t>
  </si>
  <si>
    <t>28-Mar</t>
  </si>
  <si>
    <t>29-Mar</t>
  </si>
  <si>
    <t>30-Mar</t>
  </si>
  <si>
    <t>31-Mar</t>
  </si>
  <si>
    <t>1-May</t>
  </si>
  <si>
    <t>2-May</t>
  </si>
  <si>
    <t>3-May</t>
  </si>
  <si>
    <t>4-May</t>
  </si>
  <si>
    <t>5-May</t>
  </si>
  <si>
    <t>6-May</t>
  </si>
  <si>
    <t>7-May</t>
  </si>
  <si>
    <t>8-May</t>
  </si>
  <si>
    <t>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</si>
  <si>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</si>
  <si>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</si>
  <si>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</si>
  <si>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</si>
  <si>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</si>
  <si>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</si>
  <si>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</si>
  <si>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</si>
  <si>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</si>
  <si>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</si>
  <si>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</si>
  <si>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</si>
  <si>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</si>
  <si>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</si>
  <si>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</si>
  <si>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</si>
  <si>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</si>
  <si>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</si>
  <si>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</si>
  <si>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</si>
  <si>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</si>
  <si>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</si>
  <si>
    <t>1-Jun</t>
  </si>
  <si>
    <t>2-Jun</t>
  </si>
  <si>
    <t>3-Jun</t>
  </si>
  <si>
    <t>4-Jun</t>
  </si>
  <si>
    <t>5-Jun</t>
  </si>
  <si>
    <t>6-Jun</t>
  </si>
  <si>
    <t>7-Jun</t>
  </si>
  <si>
    <t>8-Jun</t>
  </si>
  <si>
    <t>9-Jun</t>
  </si>
  <si>
    <t>10-Jun</t>
  </si>
  <si>
    <t>11-Jun</t>
  </si>
  <si>
    <t>12-Jun</t>
  </si>
  <si>
    <t>13-Jun</t>
  </si>
  <si>
    <t>14-Jun</t>
  </si>
  <si>
    <t>15-Jun</t>
  </si>
  <si>
    <t>16-Jun</t>
  </si>
  <si>
    <t>17-Jun</t>
  </si>
  <si>
    <t>18-Jun</t>
  </si>
  <si>
    <t>19-Jun</t>
  </si>
  <si>
    <t>20-Jun</t>
  </si>
  <si>
    <t>21-Jun</t>
  </si>
  <si>
    <t>22-Jun</t>
  </si>
  <si>
    <t>23-Jun</t>
  </si>
  <si>
    <t>24-Jun</t>
  </si>
  <si>
    <t>25-Jun</t>
  </si>
  <si>
    <t>26-Jun</t>
  </si>
  <si>
    <t>27-Jun</t>
  </si>
  <si>
    <t>28-Jun</t>
  </si>
  <si>
    <t>29-Jun</t>
  </si>
  <si>
    <t>30-Jun</t>
  </si>
  <si>
    <t>1-Aug</t>
  </si>
  <si>
    <t>2-Aug</t>
  </si>
  <si>
    <t>3-Aug</t>
  </si>
  <si>
    <t>4-Aug</t>
  </si>
  <si>
    <t>5-Aug</t>
  </si>
  <si>
    <t>6-Aug</t>
  </si>
  <si>
    <t>7-Aug</t>
  </si>
  <si>
    <t>8-Aug</t>
  </si>
  <si>
    <t>9-Aug</t>
  </si>
  <si>
    <t>10-Aug</t>
  </si>
  <si>
    <t>11-Aug</t>
  </si>
  <si>
    <t>12-Aug</t>
  </si>
  <si>
    <t>13-Aug</t>
  </si>
  <si>
    <t>14-Aug</t>
  </si>
  <si>
    <t>15-Aug</t>
  </si>
  <si>
    <t>16-Aug</t>
  </si>
  <si>
    <t>17-Aug</t>
  </si>
  <si>
    <t>18-Aug</t>
  </si>
  <si>
    <t>19-Aug</t>
  </si>
  <si>
    <t>20-Aug</t>
  </si>
  <si>
    <t>21-Aug</t>
  </si>
  <si>
    <t>22-Aug</t>
  </si>
  <si>
    <t>23-Aug</t>
  </si>
  <si>
    <t>24-Aug</t>
  </si>
  <si>
    <t>25-Aug</t>
  </si>
  <si>
    <t>26-Aug</t>
  </si>
  <si>
    <t>27-Aug</t>
  </si>
  <si>
    <t>28-Aug</t>
  </si>
  <si>
    <t>29-Aug</t>
  </si>
  <si>
    <t>30-Aug</t>
  </si>
  <si>
    <t>31-Aug</t>
  </si>
  <si>
    <t>1-Sep</t>
  </si>
  <si>
    <t>2-Sep</t>
  </si>
  <si>
    <t>3-Sep</t>
  </si>
  <si>
    <t>4-Sep</t>
  </si>
  <si>
    <t>5-Sep</t>
  </si>
  <si>
    <t>6-Sep</t>
  </si>
  <si>
    <t>7-Sep</t>
  </si>
  <si>
    <t>8-Sep</t>
  </si>
  <si>
    <t>9-Sep</t>
  </si>
  <si>
    <t>10-Sep</t>
  </si>
  <si>
    <t>11-Sep</t>
  </si>
  <si>
    <t>12-Sep</t>
  </si>
  <si>
    <t>13-Sep</t>
  </si>
  <si>
    <t>14-Sep</t>
  </si>
  <si>
    <t>15-Sep</t>
  </si>
  <si>
    <t>16-Sep</t>
  </si>
  <si>
    <t>17-Sep</t>
  </si>
  <si>
    <t>18-Sep</t>
  </si>
  <si>
    <t>19-Sep</t>
  </si>
  <si>
    <t>20-Sep</t>
  </si>
  <si>
    <t>21-Sep</t>
  </si>
  <si>
    <t>22-Sep</t>
  </si>
  <si>
    <t>23-Sep</t>
  </si>
  <si>
    <t>24-Sep</t>
  </si>
  <si>
    <t>25-Sep</t>
  </si>
  <si>
    <t>26-Sep</t>
  </si>
  <si>
    <t>27-Sep</t>
  </si>
  <si>
    <t>28-Sep</t>
  </si>
  <si>
    <t>29-Sep</t>
  </si>
  <si>
    <t>30-Sep</t>
  </si>
  <si>
    <t>1-Oct</t>
  </si>
  <si>
    <t>2-Oct</t>
  </si>
  <si>
    <t>3-Oct</t>
  </si>
  <si>
    <t>4-Oct</t>
  </si>
  <si>
    <t>5-Oct</t>
  </si>
  <si>
    <t>6-Oct</t>
  </si>
  <si>
    <t>7-Oct</t>
  </si>
  <si>
    <t>8-Oct</t>
  </si>
  <si>
    <t>9-Oct</t>
  </si>
  <si>
    <t>10-Oct</t>
  </si>
  <si>
    <t>11-Oct</t>
  </si>
  <si>
    <t>12-Oct</t>
  </si>
  <si>
    <t>13-Oct</t>
  </si>
  <si>
    <t>14-Oct</t>
  </si>
  <si>
    <t>15-Oct</t>
  </si>
  <si>
    <t>16-Oct</t>
  </si>
  <si>
    <t>17-Oct</t>
  </si>
  <si>
    <t>18-Oct</t>
  </si>
  <si>
    <t>19-Oct</t>
  </si>
  <si>
    <t>20-Oct</t>
  </si>
  <si>
    <t>21-Oct</t>
  </si>
  <si>
    <t>22-Oct</t>
  </si>
  <si>
    <t>23-Oct</t>
  </si>
  <si>
    <t>24-Oct</t>
  </si>
  <si>
    <t>25-Oct</t>
  </si>
  <si>
    <t>26-Oct</t>
  </si>
  <si>
    <t>27-Oct</t>
  </si>
  <si>
    <t>28-Oct</t>
  </si>
  <si>
    <t>29-Oct</t>
  </si>
  <si>
    <t>30-Oct</t>
  </si>
  <si>
    <t>31-Oct</t>
  </si>
  <si>
    <t>Patient attended within time</t>
  </si>
  <si>
    <t>Female</t>
  </si>
  <si>
    <t>Male</t>
  </si>
  <si>
    <t>Count of Patient Gender</t>
  </si>
  <si>
    <t>1-Apr</t>
  </si>
  <si>
    <t>2-Apr</t>
  </si>
  <si>
    <t>3-Apr</t>
  </si>
  <si>
    <t>4-Apr</t>
  </si>
  <si>
    <t>5-Apr</t>
  </si>
  <si>
    <t>6-Apr</t>
  </si>
  <si>
    <t>7-Apr</t>
  </si>
  <si>
    <t>8-Apr</t>
  </si>
  <si>
    <t>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</si>
  <si>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</si>
  <si>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</si>
  <si>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</si>
  <si>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</si>
  <si>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</si>
  <si>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</si>
  <si>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</si>
  <si>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</si>
  <si>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</si>
  <si>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</si>
  <si>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</si>
  <si>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</si>
  <si>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</si>
  <si>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</si>
  <si>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</si>
  <si>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</si>
  <si>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</si>
  <si>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</si>
  <si>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</si>
  <si>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</si>
  <si>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</si>
  <si>
    <t>1-Jul</t>
  </si>
  <si>
    <t>2-Jul</t>
  </si>
  <si>
    <t>3-Jul</t>
  </si>
  <si>
    <t>4-Jul</t>
  </si>
  <si>
    <t>5-Jul</t>
  </si>
  <si>
    <t>6-Jul</t>
  </si>
  <si>
    <t>7-Jul</t>
  </si>
  <si>
    <t>8-Jul</t>
  </si>
  <si>
    <t>9-Jul</t>
  </si>
  <si>
    <t>10-Jul</t>
  </si>
  <si>
    <t>11-Jul</t>
  </si>
  <si>
    <t>12-Jul</t>
  </si>
  <si>
    <t>13-Jul</t>
  </si>
  <si>
    <t>14-Jul</t>
  </si>
  <si>
    <t>15-Jul</t>
  </si>
  <si>
    <t>16-Jul</t>
  </si>
  <si>
    <t>17-Jul</t>
  </si>
  <si>
    <t>18-Jul</t>
  </si>
  <si>
    <t>19-Jul</t>
  </si>
  <si>
    <t>20-Jul</t>
  </si>
  <si>
    <t>21-Jul</t>
  </si>
  <si>
    <t>22-Jul</t>
  </si>
  <si>
    <t>23-Jul</t>
  </si>
  <si>
    <t>24-Jul</t>
  </si>
  <si>
    <t>25-Jul</t>
  </si>
  <si>
    <t>26-Jul</t>
  </si>
  <si>
    <t>27-Jul</t>
  </si>
  <si>
    <t>28-Jul</t>
  </si>
  <si>
    <t>29-Jul</t>
  </si>
  <si>
    <t>30-Jul</t>
  </si>
  <si>
    <t>31-Jul</t>
  </si>
  <si>
    <t>1-Nov</t>
  </si>
  <si>
    <t>2-Nov</t>
  </si>
  <si>
    <t>3-Nov</t>
  </si>
  <si>
    <t>4-Nov</t>
  </si>
  <si>
    <t>5-Nov</t>
  </si>
  <si>
    <t>6-Nov</t>
  </si>
  <si>
    <t>7-Nov</t>
  </si>
  <si>
    <t>8-Nov</t>
  </si>
  <si>
    <t>9-Nov</t>
  </si>
  <si>
    <t>10-Nov</t>
  </si>
  <si>
    <t>11-Nov</t>
  </si>
  <si>
    <t>12-Nov</t>
  </si>
  <si>
    <t>13-Nov</t>
  </si>
  <si>
    <t>14-Nov</t>
  </si>
  <si>
    <t>15-Nov</t>
  </si>
  <si>
    <t>16-Nov</t>
  </si>
  <si>
    <t>17-Nov</t>
  </si>
  <si>
    <t>18-Nov</t>
  </si>
  <si>
    <t>19-Nov</t>
  </si>
  <si>
    <t>20-Nov</t>
  </si>
  <si>
    <t>21-Nov</t>
  </si>
  <si>
    <t>22-Nov</t>
  </si>
  <si>
    <t>23-Nov</t>
  </si>
  <si>
    <t>24-Nov</t>
  </si>
  <si>
    <t>25-Nov</t>
  </si>
  <si>
    <t>26-Nov</t>
  </si>
  <si>
    <t>27-Nov</t>
  </si>
  <si>
    <t>28-Nov</t>
  </si>
  <si>
    <t>29-Nov</t>
  </si>
  <si>
    <t>30-Nov</t>
  </si>
  <si>
    <t>Gender wise analysis</t>
  </si>
  <si>
    <t>Cardiology</t>
  </si>
  <si>
    <t>Gastroenterology</t>
  </si>
  <si>
    <t>General Practice</t>
  </si>
  <si>
    <t>Neurology</t>
  </si>
  <si>
    <t>None</t>
  </si>
  <si>
    <t>Orthopedics</t>
  </si>
  <si>
    <t>Physiotherapy</t>
  </si>
  <si>
    <t>Renal</t>
  </si>
  <si>
    <t>Count of Department Referral</t>
  </si>
  <si>
    <t>2023</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</si>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</sst>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b/>
      <sz val="11"/>
      <color theme="1"/>
      <name val="Calibri"/>
      <family val="2"/>
      <scheme val="minor"/>
    </font>
    <font>
      <sz val="11"/>
      <color theme="0" tint="-4.9989318521683403E-2"/>
      <name val="Calibri"/>
      <family val="2"/>
      <scheme val="minor"/>
    </font>
    <font>
      <sz val="11"/>
      <color theme="3" tint="-0.249977111117893"/>
      <name val="Calibri"/>
      <family val="2"/>
      <scheme val="minor"/>
    </font>
  </fonts>
  <fills count="5">
    <fill>
      <patternFill patternType="none"/>
    </fill>
    <fill>
      <patternFill patternType="gray125"/>
    </fill>
    <fill>
      <patternFill patternType="solid">
        <fgColor theme="4" tint="0.79998168889431442"/>
        <bgColor theme="4" tint="0.79998168889431442"/>
      </patternFill>
    </fill>
    <fill>
      <patternFill patternType="solid">
        <fgColor theme="4" tint="-0.499984740745262"/>
        <bgColor indexed="64"/>
      </patternFill>
    </fill>
    <fill>
      <patternFill patternType="solid">
        <fgColor theme="0" tint="-0.499984740745262"/>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12">
    <xf numFmtId="0" fontId="0" fillId="0" borderId="0" xfId="0"/>
    <xf numFmtId="0" fontId="0" fillId="0" borderId="0" xfId="0" pivotButton="1"/>
    <xf numFmtId="0" fontId="0" fillId="0" borderId="0" xfId="0" applyAlignment="1">
      <alignment horizontal="left"/>
    </xf>
    <xf numFmtId="0" fontId="0" fillId="0" borderId="0" xfId="0" applyNumberFormat="1"/>
    <xf numFmtId="2" fontId="0" fillId="0" borderId="0" xfId="0" applyNumberFormat="1"/>
    <xf numFmtId="0" fontId="1" fillId="2" borderId="1" xfId="0" applyFont="1" applyFill="1" applyBorder="1"/>
    <xf numFmtId="1" fontId="0" fillId="0" borderId="0" xfId="0" applyNumberFormat="1"/>
    <xf numFmtId="10" fontId="0" fillId="0" borderId="0" xfId="0" applyNumberFormat="1"/>
    <xf numFmtId="0" fontId="2" fillId="3" borderId="0" xfId="0" applyFont="1" applyFill="1" applyAlignment="1">
      <alignment horizontal="center" vertical="center"/>
    </xf>
    <xf numFmtId="0" fontId="0" fillId="0" borderId="0" xfId="0" applyAlignment="1">
      <alignment horizontal="center" vertical="center"/>
    </xf>
    <xf numFmtId="10" fontId="0" fillId="0" borderId="0" xfId="0" applyNumberFormat="1" applyAlignment="1">
      <alignment horizontal="center" vertical="center"/>
    </xf>
    <xf numFmtId="0" fontId="3" fillId="4" borderId="0" xfId="0" applyFont="1" applyFill="1"/>
  </cellXfs>
  <cellStyles count="1">
    <cellStyle name="Normal" xfId="0" builtinId="0"/>
  </cellStyles>
  <dxfs count="13">
    <dxf>
      <numFmt numFmtId="1" formatCode="0"/>
    </dxf>
    <dxf>
      <numFmt numFmtId="2" formatCode="0.00"/>
    </dxf>
    <dxf>
      <numFmt numFmtId="14" formatCode="0.00%"/>
    </dxf>
    <dxf>
      <numFmt numFmtId="1" formatCode="0"/>
    </dxf>
    <dxf>
      <numFmt numFmtId="1" formatCode="0"/>
    </dxf>
    <dxf>
      <numFmt numFmtId="2" formatCode="0.00"/>
    </dxf>
    <dxf>
      <numFmt numFmtId="1" formatCode="0"/>
    </dxf>
    <dxf>
      <numFmt numFmtId="2" formatCode="0.00"/>
    </dxf>
    <dxf>
      <numFmt numFmtId="2" formatCode="0.00"/>
    </dxf>
    <dxf>
      <numFmt numFmtId="1" formatCode="0"/>
    </dxf>
    <dxf>
      <numFmt numFmtId="1" formatCode="0"/>
    </dxf>
    <dxf>
      <font>
        <b/>
        <color theme="1"/>
      </font>
      <border diagonalUp="0" diagonalDown="0">
        <left/>
        <right/>
        <top/>
        <bottom/>
        <vertical/>
        <horizontal/>
      </border>
    </dxf>
    <dxf>
      <font>
        <color theme="4" tint="-0.499984740745262"/>
      </font>
      <fill>
        <patternFill>
          <bgColor theme="0" tint="-4.9989318521683403E-2"/>
        </patternFill>
      </fill>
      <border diagonalUp="0" diagonalDown="0">
        <left/>
        <right/>
        <top/>
        <bottom/>
        <vertical/>
        <horizontal/>
      </border>
    </dxf>
  </dxfs>
  <tableStyles count="1" defaultTableStyle="TableStyleMedium2" defaultPivotStyle="PivotStyleLight16">
    <tableStyle name="my style" pivot="0" table="0" count="10" xr9:uid="{FF4B085B-88D5-4A09-950B-C48E12A12898}">
      <tableStyleElement type="wholeTable" dxfId="12"/>
      <tableStyleElement type="headerRow" dxfId="11"/>
    </tableStyle>
  </tableStyles>
  <extLst>
    <ext xmlns:x14="http://schemas.microsoft.com/office/spreadsheetml/2009/9/main" uri="{46F421CA-312F-682f-3DD2-61675219B42D}">
      <x14:dxfs count="8">
        <dxf>
          <font>
            <color theme="0"/>
          </font>
          <fill>
            <patternFill patternType="solid">
              <fgColor auto="1"/>
              <bgColor theme="4" tint="-0.499984740745262"/>
            </patternFill>
          </fill>
          <border diagonalUp="0" diagonalDown="0">
            <left/>
            <right/>
            <top/>
            <bottom/>
            <vertical/>
            <horizontal/>
          </border>
        </dxf>
        <dxf>
          <font>
            <color theme="0"/>
          </font>
          <fill>
            <patternFill patternType="solid">
              <fgColor auto="1"/>
              <bgColor theme="4" tint="-0.499984740745262"/>
            </patternFill>
          </fill>
          <border diagonalUp="0" diagonalDown="0">
            <left/>
            <right/>
            <top/>
            <bottom/>
            <vertical/>
            <horizontal/>
          </border>
        </dxf>
        <dxf>
          <font>
            <color theme="0"/>
          </font>
          <fill>
            <patternFill patternType="solid">
              <fgColor auto="1"/>
              <bgColor theme="4" tint="-0.499984740745262"/>
            </patternFill>
          </fill>
          <border diagonalUp="0" diagonalDown="0">
            <left/>
            <right/>
            <top/>
            <bottom/>
            <vertical/>
            <horizontal/>
          </border>
        </dxf>
        <dxf>
          <font>
            <color theme="0"/>
          </font>
          <fill>
            <patternFill patternType="solid">
              <fgColor auto="1"/>
              <bgColor theme="4" tint="-0.499984740745262"/>
            </patternFill>
          </fill>
          <border diagonalUp="0" diagonalDown="0">
            <left/>
            <right/>
            <top/>
            <bottom/>
            <vertical/>
            <horizontal/>
          </border>
        </dxf>
        <dxf>
          <font>
            <color rgb="FF828282"/>
          </font>
          <fill>
            <patternFill patternType="solid">
              <fgColor theme="4" tint="0.79998168889431442"/>
              <bgColor theme="4" tint="0.79998168889431442"/>
            </patternFill>
          </fill>
          <border diagonalUp="0" diagonalDown="0">
            <left/>
            <right/>
            <top/>
            <bottom/>
            <vertical/>
            <horizontal/>
          </border>
        </dxf>
        <dxf>
          <font>
            <color theme="0"/>
          </font>
          <fill>
            <patternFill patternType="solid">
              <fgColor theme="4" tint="0.59999389629810485"/>
              <bgColor theme="5" tint="-0.24994659260841701"/>
            </patternFill>
          </fill>
          <border diagonalUp="0" diagonalDown="0">
            <left/>
            <right/>
            <top/>
            <bottom/>
            <vertical/>
            <horizontal/>
          </border>
        </dxf>
        <dxf>
          <font>
            <color rgb="FF828282"/>
          </font>
          <fill>
            <patternFill patternType="solid">
              <fgColor rgb="FFFFFFFF"/>
              <bgColor theme="4" tint="-0.499984740745262"/>
            </patternFill>
          </fill>
          <border diagonalUp="0" diagonalDown="0">
            <left/>
            <right/>
            <top/>
            <bottom/>
            <vertical/>
            <horizontal/>
          </border>
        </dxf>
        <dxf>
          <font>
            <color rgb="FF000000"/>
          </font>
          <fill>
            <patternFill patternType="solid">
              <fgColor rgb="FFFFFFFF"/>
              <bgColor rgb="FFFFFFFF"/>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openxmlformats.org/officeDocument/2006/relationships/theme" Target="theme/theme1.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haredStrings" Target="sharedStrings.xml"/><Relationship Id="rId34" Type="http://schemas.openxmlformats.org/officeDocument/2006/relationships/customXml" Target="../customXml/item11.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tyles" Target="styles.xml"/><Relationship Id="rId29" Type="http://schemas.openxmlformats.org/officeDocument/2006/relationships/customXml" Target="../customXml/item6.xml"/><Relationship Id="rId41"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5" Type="http://schemas.openxmlformats.org/officeDocument/2006/relationships/pivotCacheDefinition" Target="pivotCache/pivotCacheDefinition3.xml"/><Relationship Id="rId15" Type="http://schemas.openxmlformats.org/officeDocument/2006/relationships/pivotCacheDefinition" Target="pivotCache/pivotCacheDefinition13.xml"/><Relationship Id="rId23" Type="http://schemas.openxmlformats.org/officeDocument/2006/relationships/calcChain" Target="calcChain.xml"/><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pivotCacheDefinition" Target="pivotCache/pivotCacheDefinition8.xml"/><Relationship Id="rId19" Type="http://schemas.openxmlformats.org/officeDocument/2006/relationships/connections" Target="connections.xml"/><Relationship Id="rId31" Type="http://schemas.openxmlformats.org/officeDocument/2006/relationships/customXml" Target="../customXml/item8.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pivotCacheDefinition" Target="pivotCache/pivotCacheDefinition12.xml"/><Relationship Id="rId22" Type="http://schemas.openxmlformats.org/officeDocument/2006/relationships/powerPivotData" Target="model/item.data"/><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microsoft.com/office/2007/relationships/slicerCache" Target="slicerCaches/slicerCache2.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[Final_report.xlsx]Pivote report!PivotTable9</c:name>
    <c:fmtId val="1"/>
  </c:pivotSource>
  <c:chart>
    <c:autoTitleDeleted val="0"/>
    <c:pivotFmts>
      <c:pivotFmt>
        <c:idx val="0"/>
        <c:spPr>
          <a:solidFill>
            <a:schemeClr val="accent1">
              <a:lumMod val="50000"/>
            </a:schemeClr>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pivotFmt>
      <c:pivotFmt>
        <c:idx val="3"/>
        <c:spPr>
          <a:solidFill>
            <a:schemeClr val="accent1">
              <a:lumMod val="50000"/>
            </a:schemeClr>
          </a:solidFill>
          <a:ln>
            <a:noFill/>
          </a:ln>
          <a:effectLst/>
        </c:spPr>
      </c:pivotFmt>
    </c:pivotFmts>
    <c:plotArea>
      <c:layout>
        <c:manualLayout>
          <c:layoutTarget val="inner"/>
          <c:xMode val="edge"/>
          <c:yMode val="edge"/>
          <c:x val="1.2773284493937409E-2"/>
          <c:y val="1.2528948587308939E-2"/>
          <c:w val="0.75910484173096604"/>
          <c:h val="0.98746989346919867"/>
        </c:manualLayout>
      </c:layout>
      <c:barChart>
        <c:barDir val="bar"/>
        <c:grouping val="clustered"/>
        <c:varyColors val="0"/>
        <c:ser>
          <c:idx val="0"/>
          <c:order val="0"/>
          <c:tx>
            <c:strRef>
              <c:f>'Pivote report'!$B$376</c:f>
              <c:strCache>
                <c:ptCount val="1"/>
                <c:pt idx="0">
                  <c:v>Count of Patient Admission Flag</c:v>
                </c:pt>
              </c:strCache>
            </c:strRef>
          </c:tx>
          <c:spPr>
            <a:solidFill>
              <a:schemeClr val="accent1">
                <a:lumMod val="50000"/>
              </a:schemeClr>
            </a:solidFill>
            <a:ln>
              <a:noFill/>
            </a:ln>
            <a:effectLst/>
          </c:spPr>
          <c:invertIfNegative val="0"/>
          <c:dPt>
            <c:idx val="0"/>
            <c:invertIfNegative val="0"/>
            <c:bubble3D val="0"/>
          </c:dPt>
          <c:dPt>
            <c:idx val="1"/>
            <c:invertIfNegative val="0"/>
            <c:bubble3D val="0"/>
          </c:dPt>
          <c:cat>
            <c:strRef>
              <c:f>'Pivote report'!$A$377:$A$379</c:f>
              <c:strCache>
                <c:ptCount val="2"/>
                <c:pt idx="0">
                  <c:v>Admitted</c:v>
                </c:pt>
                <c:pt idx="1">
                  <c:v>Not Admitted</c:v>
                </c:pt>
              </c:strCache>
            </c:strRef>
          </c:cat>
          <c:val>
            <c:numRef>
              <c:f>'Pivote report'!$B$377:$B$379</c:f>
              <c:numCache>
                <c:formatCode>0</c:formatCode>
                <c:ptCount val="2"/>
                <c:pt idx="0">
                  <c:v>4612</c:v>
                </c:pt>
                <c:pt idx="1">
                  <c:v>4604</c:v>
                </c:pt>
              </c:numCache>
            </c:numRef>
          </c:val>
          <c:extLst>
            <c:ext xmlns:c16="http://schemas.microsoft.com/office/drawing/2014/chart" uri="{C3380CC4-5D6E-409C-BE32-E72D297353CC}">
              <c16:uniqueId val="{00000007-A0CA-4717-9EDB-2431B12C43AE}"/>
            </c:ext>
          </c:extLst>
        </c:ser>
        <c:ser>
          <c:idx val="1"/>
          <c:order val="1"/>
          <c:tx>
            <c:strRef>
              <c:f>'Pivote report'!$C$376</c:f>
              <c:strCache>
                <c:ptCount val="1"/>
                <c:pt idx="0">
                  <c:v>Count of Patient Admission Flag2</c:v>
                </c:pt>
              </c:strCache>
            </c:strRef>
          </c:tx>
          <c:spPr>
            <a:solidFill>
              <a:schemeClr val="accent2"/>
            </a:solidFill>
            <a:ln>
              <a:noFill/>
            </a:ln>
            <a:effectLst/>
          </c:spPr>
          <c:invertIfNegative val="0"/>
          <c:cat>
            <c:strRef>
              <c:f>'Pivote report'!$A$377:$A$379</c:f>
              <c:strCache>
                <c:ptCount val="2"/>
                <c:pt idx="0">
                  <c:v>Admitted</c:v>
                </c:pt>
                <c:pt idx="1">
                  <c:v>Not Admitted</c:v>
                </c:pt>
              </c:strCache>
            </c:strRef>
          </c:cat>
          <c:val>
            <c:numRef>
              <c:f>'Pivote report'!$C$377:$C$379</c:f>
              <c:numCache>
                <c:formatCode>0.00%</c:formatCode>
                <c:ptCount val="2"/>
                <c:pt idx="0">
                  <c:v>0.50043402777777779</c:v>
                </c:pt>
                <c:pt idx="1">
                  <c:v>0.49956597222222221</c:v>
                </c:pt>
              </c:numCache>
            </c:numRef>
          </c:val>
          <c:extLst>
            <c:ext xmlns:c16="http://schemas.microsoft.com/office/drawing/2014/chart" uri="{C3380CC4-5D6E-409C-BE32-E72D297353CC}">
              <c16:uniqueId val="{00000008-A0CA-4717-9EDB-2431B12C43AE}"/>
            </c:ext>
          </c:extLst>
        </c:ser>
        <c:dLbls>
          <c:showLegendKey val="0"/>
          <c:showVal val="0"/>
          <c:showCatName val="0"/>
          <c:showSerName val="0"/>
          <c:showPercent val="0"/>
          <c:showBubbleSize val="0"/>
        </c:dLbls>
        <c:gapWidth val="0"/>
        <c:axId val="736022287"/>
        <c:axId val="736019375"/>
      </c:barChart>
      <c:catAx>
        <c:axId val="736022287"/>
        <c:scaling>
          <c:orientation val="minMax"/>
        </c:scaling>
        <c:delete val="1"/>
        <c:axPos val="l"/>
        <c:numFmt formatCode="General" sourceLinked="1"/>
        <c:majorTickMark val="none"/>
        <c:minorTickMark val="none"/>
        <c:tickLblPos val="nextTo"/>
        <c:crossAx val="736019375"/>
        <c:crosses val="autoZero"/>
        <c:auto val="1"/>
        <c:lblAlgn val="ctr"/>
        <c:lblOffset val="100"/>
        <c:noMultiLvlLbl val="0"/>
      </c:catAx>
      <c:valAx>
        <c:axId val="736019375"/>
        <c:scaling>
          <c:orientation val="minMax"/>
        </c:scaling>
        <c:delete val="1"/>
        <c:axPos val="b"/>
        <c:numFmt formatCode="0" sourceLinked="1"/>
        <c:majorTickMark val="none"/>
        <c:minorTickMark val="none"/>
        <c:tickLblPos val="nextTo"/>
        <c:crossAx val="7360222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[Final_report.xlsx]Pivote report!PivotTable10</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108527131782945E-2"/>
          <c:y val="0.14184397163120568"/>
          <c:w val="0.93178294573643405"/>
          <c:h val="0.69362930697492609"/>
        </c:manualLayout>
      </c:layout>
      <c:barChart>
        <c:barDir val="col"/>
        <c:grouping val="clustered"/>
        <c:varyColors val="0"/>
        <c:ser>
          <c:idx val="0"/>
          <c:order val="0"/>
          <c:tx>
            <c:strRef>
              <c:f>'Pivote report'!$B$388</c:f>
              <c:strCache>
                <c:ptCount val="1"/>
                <c:pt idx="0">
                  <c:v>Total</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 report'!$A$389:$A$397</c:f>
              <c:strCache>
                <c:ptCount val="8"/>
                <c:pt idx="0">
                  <c:v>0-09</c:v>
                </c:pt>
                <c:pt idx="1">
                  <c:v>10-19</c:v>
                </c:pt>
                <c:pt idx="2">
                  <c:v>20-29</c:v>
                </c:pt>
                <c:pt idx="3">
                  <c:v>30-39</c:v>
                </c:pt>
                <c:pt idx="4">
                  <c:v>40-49</c:v>
                </c:pt>
                <c:pt idx="5">
                  <c:v>50-59</c:v>
                </c:pt>
                <c:pt idx="6">
                  <c:v>60-69</c:v>
                </c:pt>
                <c:pt idx="7">
                  <c:v>70-79</c:v>
                </c:pt>
              </c:strCache>
            </c:strRef>
          </c:cat>
          <c:val>
            <c:numRef>
              <c:f>'Pivote report'!$B$389:$B$397</c:f>
              <c:numCache>
                <c:formatCode>0</c:formatCode>
                <c:ptCount val="8"/>
                <c:pt idx="0">
                  <c:v>1176</c:v>
                </c:pt>
                <c:pt idx="1">
                  <c:v>1160</c:v>
                </c:pt>
                <c:pt idx="2">
                  <c:v>1207</c:v>
                </c:pt>
                <c:pt idx="3">
                  <c:v>1191</c:v>
                </c:pt>
                <c:pt idx="4">
                  <c:v>1137</c:v>
                </c:pt>
                <c:pt idx="5">
                  <c:v>1147</c:v>
                </c:pt>
                <c:pt idx="6">
                  <c:v>1150</c:v>
                </c:pt>
                <c:pt idx="7">
                  <c:v>1048</c:v>
                </c:pt>
              </c:numCache>
            </c:numRef>
          </c:val>
          <c:extLst>
            <c:ext xmlns:c16="http://schemas.microsoft.com/office/drawing/2014/chart" uri="{C3380CC4-5D6E-409C-BE32-E72D297353CC}">
              <c16:uniqueId val="{00000003-DD23-4A8F-A092-F62BA2E28BC8}"/>
            </c:ext>
          </c:extLst>
        </c:ser>
        <c:dLbls>
          <c:showLegendKey val="0"/>
          <c:showVal val="0"/>
          <c:showCatName val="0"/>
          <c:showSerName val="0"/>
          <c:showPercent val="0"/>
          <c:showBubbleSize val="0"/>
        </c:dLbls>
        <c:gapWidth val="219"/>
        <c:overlap val="-27"/>
        <c:axId val="1377915343"/>
        <c:axId val="1377915759"/>
      </c:barChart>
      <c:catAx>
        <c:axId val="1377915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crossAx val="1377915759"/>
        <c:crosses val="autoZero"/>
        <c:auto val="1"/>
        <c:lblAlgn val="ctr"/>
        <c:lblOffset val="100"/>
        <c:noMultiLvlLbl val="0"/>
      </c:catAx>
      <c:valAx>
        <c:axId val="1377915759"/>
        <c:scaling>
          <c:orientation val="minMax"/>
        </c:scaling>
        <c:delete val="1"/>
        <c:axPos val="l"/>
        <c:numFmt formatCode="0" sourceLinked="1"/>
        <c:majorTickMark val="none"/>
        <c:minorTickMark val="none"/>
        <c:tickLblPos val="nextTo"/>
        <c:crossAx val="13779153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[Final_report.xlsx]Pivote report!PivotTable1</c:name>
    <c:fmtId val="1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5"/>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6"/>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7"/>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8"/>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9"/>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lumMod val="50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24030132406633528"/>
              <c:y val="-0.1088892716535433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2">
              <a:lumMod val="75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24511679056877667"/>
              <c:y val="9.360285433070859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7842211762635815"/>
          <c:y val="0.14296948818897637"/>
          <c:w val="0.64315576474728364"/>
          <c:h val="0.71953051181102368"/>
        </c:manualLayout>
      </c:layout>
      <c:pieChart>
        <c:varyColors val="1"/>
        <c:ser>
          <c:idx val="0"/>
          <c:order val="0"/>
          <c:tx>
            <c:strRef>
              <c:f>'Pivote report'!$B$400</c:f>
              <c:strCache>
                <c:ptCount val="1"/>
                <c:pt idx="0">
                  <c:v>Total</c:v>
                </c:pt>
              </c:strCache>
            </c:strRef>
          </c:tx>
          <c:dPt>
            <c:idx val="0"/>
            <c:bubble3D val="0"/>
            <c:spPr>
              <a:solidFill>
                <a:schemeClr val="accent1">
                  <a:lumMod val="50000"/>
                </a:schemeClr>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lumMod val="75000"/>
                </a:schemeClr>
              </a:solidFill>
              <a:ln>
                <a:noFill/>
              </a:ln>
              <a:effectLst/>
              <a:scene3d>
                <a:camera prst="orthographicFront"/>
                <a:lightRig rig="brightRoom" dir="t"/>
              </a:scene3d>
              <a:sp3d prstMaterial="flat">
                <a:bevelT w="50800" h="101600" prst="angle"/>
                <a:contourClr>
                  <a:srgbClr val="000000"/>
                </a:contourClr>
              </a:sp3d>
            </c:spPr>
          </c:dPt>
          <c:dLbls>
            <c:dLbl>
              <c:idx val="0"/>
              <c:layout>
                <c:manualLayout>
                  <c:x val="-0.24030132406633528"/>
                  <c:y val="-0.10888927165354331"/>
                </c:manualLayout>
              </c:layout>
              <c:dLblPos val="bestFit"/>
              <c:showLegendKey val="0"/>
              <c:showVal val="0"/>
              <c:showCatName val="1"/>
              <c:showSerName val="0"/>
              <c:showPercent val="1"/>
              <c:showBubbleSize val="0"/>
              <c:extLst>
                <c:ext xmlns:c15="http://schemas.microsoft.com/office/drawing/2012/chart" uri="{CE6537A1-D6FC-4f65-9D91-7224C49458BB}"/>
              </c:extLst>
            </c:dLbl>
            <c:dLbl>
              <c:idx val="1"/>
              <c:layout>
                <c:manualLayout>
                  <c:x val="0.24511679056877667"/>
                  <c:y val="9.3602854330708599E-2"/>
                </c:manualLayout>
              </c:layout>
              <c:dLblPos val="bestFit"/>
              <c:showLegendKey val="0"/>
              <c:showVal val="0"/>
              <c:showCatName val="1"/>
              <c:showSerName val="0"/>
              <c:showPercent val="1"/>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 report'!$A$401:$A$403</c:f>
              <c:strCache>
                <c:ptCount val="2"/>
                <c:pt idx="0">
                  <c:v>Delay</c:v>
                </c:pt>
                <c:pt idx="1">
                  <c:v>Ontime</c:v>
                </c:pt>
              </c:strCache>
            </c:strRef>
          </c:cat>
          <c:val>
            <c:numRef>
              <c:f>'Pivote report'!$B$401:$B$403</c:f>
              <c:numCache>
                <c:formatCode>0</c:formatCode>
                <c:ptCount val="2"/>
                <c:pt idx="0">
                  <c:v>5684</c:v>
                </c:pt>
                <c:pt idx="1">
                  <c:v>3532</c:v>
                </c:pt>
              </c:numCache>
            </c:numRef>
          </c:val>
          <c:extLst>
            <c:ext xmlns:c16="http://schemas.microsoft.com/office/drawing/2014/chart" uri="{C3380CC4-5D6E-409C-BE32-E72D297353CC}">
              <c16:uniqueId val="{00000007-7948-491F-9EBC-5953EAE33419}"/>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[Final_report.xlsx]Pivote report!PivotTable7</c:name>
    <c:fmtId val="15"/>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lumMod val="50000"/>
            </a:schemeClr>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2">
              <a:lumMod val="75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7490348805472528"/>
          <c:y val="0.12697758933979406"/>
          <c:w val="0.6501925815303099"/>
          <c:h val="0.71221126589945483"/>
        </c:manualLayout>
      </c:layout>
      <c:doughnutChart>
        <c:varyColors val="1"/>
        <c:ser>
          <c:idx val="0"/>
          <c:order val="0"/>
          <c:tx>
            <c:strRef>
              <c:f>'Pivote report'!$B$407</c:f>
              <c:strCache>
                <c:ptCount val="1"/>
                <c:pt idx="0">
                  <c:v>Total</c:v>
                </c:pt>
              </c:strCache>
            </c:strRef>
          </c:tx>
          <c:dPt>
            <c:idx val="0"/>
            <c:bubble3D val="0"/>
            <c:spPr>
              <a:solidFill>
                <a:schemeClr val="accent1">
                  <a:lumMod val="50000"/>
                </a:schemeClr>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lumMod val="75000"/>
                </a:schemeClr>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 report'!$A$408:$A$410</c:f>
              <c:strCache>
                <c:ptCount val="2"/>
                <c:pt idx="0">
                  <c:v>Female</c:v>
                </c:pt>
                <c:pt idx="1">
                  <c:v>Male</c:v>
                </c:pt>
              </c:strCache>
            </c:strRef>
          </c:cat>
          <c:val>
            <c:numRef>
              <c:f>'Pivote report'!$B$408:$B$410</c:f>
              <c:numCache>
                <c:formatCode>0</c:formatCode>
                <c:ptCount val="2"/>
                <c:pt idx="0">
                  <c:v>4487</c:v>
                </c:pt>
                <c:pt idx="1">
                  <c:v>4729</c:v>
                </c:pt>
              </c:numCache>
            </c:numRef>
          </c:val>
          <c:extLst>
            <c:ext xmlns:c16="http://schemas.microsoft.com/office/drawing/2014/chart" uri="{C3380CC4-5D6E-409C-BE32-E72D297353CC}">
              <c16:uniqueId val="{00000007-4E34-4646-A111-DECA23996E65}"/>
            </c:ext>
          </c:extLst>
        </c:ser>
        <c:dLbls>
          <c:showLegendKey val="0"/>
          <c:showVal val="1"/>
          <c:showCatName val="0"/>
          <c:showSerName val="0"/>
          <c:showPercent val="0"/>
          <c:showBubbleSize val="0"/>
          <c:showLeaderLines val="1"/>
        </c:dLbls>
        <c:firstSliceAng val="0"/>
        <c:holeSize val="36"/>
      </c:doughnutChart>
      <c:spPr>
        <a:noFill/>
        <a:ln>
          <a:noFill/>
        </a:ln>
        <a:effectLst>
          <a:softEdge rad="76200"/>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[Final_report.xlsx]Pivote report!PivotTable11</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027740256317332"/>
          <c:y val="5.1162790697674418E-2"/>
          <c:w val="0.74903919436848632"/>
          <c:h val="0.83720930232558144"/>
        </c:manualLayout>
      </c:layout>
      <c:barChart>
        <c:barDir val="bar"/>
        <c:grouping val="clustered"/>
        <c:varyColors val="0"/>
        <c:ser>
          <c:idx val="0"/>
          <c:order val="0"/>
          <c:tx>
            <c:strRef>
              <c:f>'Pivote report'!$B$414</c:f>
              <c:strCache>
                <c:ptCount val="1"/>
                <c:pt idx="0">
                  <c:v>Total</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 report'!$A$415:$A$423</c:f>
              <c:strCache>
                <c:ptCount val="8"/>
                <c:pt idx="0">
                  <c:v>Renal</c:v>
                </c:pt>
                <c:pt idx="1">
                  <c:v>Gastroenterology</c:v>
                </c:pt>
                <c:pt idx="2">
                  <c:v>Neurology</c:v>
                </c:pt>
                <c:pt idx="3">
                  <c:v>Cardiology</c:v>
                </c:pt>
                <c:pt idx="4">
                  <c:v>Physiotherapy</c:v>
                </c:pt>
                <c:pt idx="5">
                  <c:v>Orthopedics</c:v>
                </c:pt>
                <c:pt idx="6">
                  <c:v>General Practice</c:v>
                </c:pt>
                <c:pt idx="7">
                  <c:v>None</c:v>
                </c:pt>
              </c:strCache>
            </c:strRef>
          </c:cat>
          <c:val>
            <c:numRef>
              <c:f>'Pivote report'!$B$415:$B$423</c:f>
              <c:numCache>
                <c:formatCode>0</c:formatCode>
                <c:ptCount val="8"/>
                <c:pt idx="0">
                  <c:v>86</c:v>
                </c:pt>
                <c:pt idx="1">
                  <c:v>178</c:v>
                </c:pt>
                <c:pt idx="2">
                  <c:v>193</c:v>
                </c:pt>
                <c:pt idx="3">
                  <c:v>248</c:v>
                </c:pt>
                <c:pt idx="4">
                  <c:v>276</c:v>
                </c:pt>
                <c:pt idx="5">
                  <c:v>995</c:v>
                </c:pt>
                <c:pt idx="6">
                  <c:v>1840</c:v>
                </c:pt>
                <c:pt idx="7">
                  <c:v>5400</c:v>
                </c:pt>
              </c:numCache>
            </c:numRef>
          </c:val>
          <c:extLst>
            <c:ext xmlns:c16="http://schemas.microsoft.com/office/drawing/2014/chart" uri="{C3380CC4-5D6E-409C-BE32-E72D297353CC}">
              <c16:uniqueId val="{00000003-5138-45C9-A8FF-822CD95B1EE2}"/>
            </c:ext>
          </c:extLst>
        </c:ser>
        <c:dLbls>
          <c:dLblPos val="outEnd"/>
          <c:showLegendKey val="0"/>
          <c:showVal val="1"/>
          <c:showCatName val="0"/>
          <c:showSerName val="0"/>
          <c:showPercent val="0"/>
          <c:showBubbleSize val="0"/>
        </c:dLbls>
        <c:gapWidth val="30"/>
        <c:axId val="735981103"/>
        <c:axId val="735983183"/>
      </c:barChart>
      <c:catAx>
        <c:axId val="735981103"/>
        <c:scaling>
          <c:orientation val="minMax"/>
        </c:scaling>
        <c:delete val="0"/>
        <c:axPos val="l"/>
        <c:numFmt formatCode="General" sourceLinked="1"/>
        <c:majorTickMark val="none"/>
        <c:minorTickMark val="none"/>
        <c:tickLblPos val="nextTo"/>
        <c:spPr>
          <a:solidFill>
            <a:schemeClr val="bg1">
              <a:lumMod val="95000"/>
            </a:schemeClr>
          </a:solidFill>
          <a:ln w="9525" cap="flat" cmpd="sng" algn="ctr">
            <a:noFill/>
            <a:round/>
          </a:ln>
          <a:effectLst>
            <a:outerShdw blurRad="50800" dist="50800" dir="5400000" algn="ctr" rotWithShape="0">
              <a:srgbClr val="000000">
                <a:alpha val="43137"/>
              </a:srgbClr>
            </a:outerShdw>
            <a:softEdge rad="88900"/>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crossAx val="735983183"/>
        <c:crosses val="autoZero"/>
        <c:auto val="1"/>
        <c:lblAlgn val="ctr"/>
        <c:lblOffset val="100"/>
        <c:noMultiLvlLbl val="0"/>
      </c:catAx>
      <c:valAx>
        <c:axId val="735983183"/>
        <c:scaling>
          <c:orientation val="minMax"/>
        </c:scaling>
        <c:delete val="1"/>
        <c:axPos val="b"/>
        <c:numFmt formatCode="0" sourceLinked="1"/>
        <c:majorTickMark val="none"/>
        <c:minorTickMark val="none"/>
        <c:tickLblPos val="nextTo"/>
        <c:crossAx val="7359811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emf"/><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chart" Target="../charts/chart5.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4.xml"/><Relationship Id="rId5" Type="http://schemas.openxmlformats.org/officeDocument/2006/relationships/image" Target="../media/image5.svg"/><Relationship Id="rId10" Type="http://schemas.openxmlformats.org/officeDocument/2006/relationships/chart" Target="../charts/chart3.xml"/><Relationship Id="rId4" Type="http://schemas.openxmlformats.org/officeDocument/2006/relationships/image" Target="../media/image4.png"/><Relationship Id="rId9" Type="http://schemas.openxmlformats.org/officeDocument/2006/relationships/chart" Target="../charts/chart2.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2</xdr:col>
      <xdr:colOff>887236</xdr:colOff>
      <xdr:row>382</xdr:row>
      <xdr:rowOff>115006</xdr:rowOff>
    </xdr:from>
    <xdr:to>
      <xdr:col>4</xdr:col>
      <xdr:colOff>42333</xdr:colOff>
      <xdr:row>384</xdr:row>
      <xdr:rowOff>178506</xdr:rowOff>
    </xdr:to>
    <xdr:graphicFrame macro="">
      <xdr:nvGraphicFramePr>
        <xdr:cNvPr id="10" name="Chart 9">
          <a:extLst>
            <a:ext uri="{FF2B5EF4-FFF2-40B4-BE49-F238E27FC236}">
              <a16:creationId xmlns:a16="http://schemas.microsoft.com/office/drawing/2014/main" id="{A73F4544-147C-4AAB-85C8-93AD1A7857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63500</xdr:colOff>
      <xdr:row>0</xdr:row>
      <xdr:rowOff>101600</xdr:rowOff>
    </xdr:from>
    <xdr:to>
      <xdr:col>6</xdr:col>
      <xdr:colOff>400050</xdr:colOff>
      <xdr:row>6</xdr:row>
      <xdr:rowOff>0</xdr:rowOff>
    </xdr:to>
    <xdr:sp macro="" textlink="">
      <xdr:nvSpPr>
        <xdr:cNvPr id="2" name="Rectangle: Rounded Corners 1">
          <a:extLst>
            <a:ext uri="{FF2B5EF4-FFF2-40B4-BE49-F238E27FC236}">
              <a16:creationId xmlns:a16="http://schemas.microsoft.com/office/drawing/2014/main" id="{F30AD38E-0595-4194-B9DE-389DCEB86021}"/>
            </a:ext>
          </a:extLst>
        </xdr:cNvPr>
        <xdr:cNvSpPr/>
      </xdr:nvSpPr>
      <xdr:spPr>
        <a:xfrm>
          <a:off x="63500" y="101600"/>
          <a:ext cx="3994150" cy="1003300"/>
        </a:xfrm>
        <a:prstGeom prst="round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1400" b="1">
              <a:solidFill>
                <a:schemeClr val="accent1">
                  <a:lumMod val="50000"/>
                </a:schemeClr>
              </a:solidFill>
            </a:rPr>
            <a:t>Hospital Emergency Room Dashboard</a:t>
          </a:r>
        </a:p>
        <a:p>
          <a:pPr algn="ctr"/>
          <a:r>
            <a:rPr lang="en-IN" sz="1400" b="0">
              <a:solidFill>
                <a:schemeClr val="accent1">
                  <a:lumMod val="50000"/>
                </a:schemeClr>
              </a:solidFill>
            </a:rPr>
            <a:t>               Monthly</a:t>
          </a:r>
          <a:r>
            <a:rPr lang="en-IN" sz="1400" b="0" baseline="0">
              <a:solidFill>
                <a:schemeClr val="accent1">
                  <a:lumMod val="50000"/>
                </a:schemeClr>
              </a:solidFill>
            </a:rPr>
            <a:t> Report</a:t>
          </a:r>
          <a:endParaRPr lang="en-IN" sz="1400" b="0">
            <a:solidFill>
              <a:schemeClr val="accent1">
                <a:lumMod val="50000"/>
              </a:schemeClr>
            </a:solidFill>
          </a:endParaRPr>
        </a:p>
      </xdr:txBody>
    </xdr:sp>
    <xdr:clientData/>
  </xdr:twoCellAnchor>
  <xdr:twoCellAnchor editAs="oneCell">
    <xdr:from>
      <xdr:col>0</xdr:col>
      <xdr:colOff>190500</xdr:colOff>
      <xdr:row>0</xdr:row>
      <xdr:rowOff>146050</xdr:rowOff>
    </xdr:from>
    <xdr:to>
      <xdr:col>1</xdr:col>
      <xdr:colOff>450849</xdr:colOff>
      <xdr:row>5</xdr:row>
      <xdr:rowOff>95249</xdr:rowOff>
    </xdr:to>
    <xdr:pic>
      <xdr:nvPicPr>
        <xdr:cNvPr id="4" name="Picture 3">
          <a:extLst>
            <a:ext uri="{FF2B5EF4-FFF2-40B4-BE49-F238E27FC236}">
              <a16:creationId xmlns:a16="http://schemas.microsoft.com/office/drawing/2014/main" id="{82EAF73C-2515-4DB5-BC4A-DEE157318FFD}"/>
            </a:ext>
          </a:extLst>
        </xdr:cNvPr>
        <xdr:cNvPicPr>
          <a:picLocks noChangeAspect="1"/>
        </xdr:cNvPicPr>
      </xdr:nvPicPr>
      <xdr:blipFill>
        <a:blip xmlns:r="http://schemas.openxmlformats.org/officeDocument/2006/relationships" r:embed="rId1" cstate="print">
          <a:clrChange>
            <a:clrFrom>
              <a:srgbClr val="FFFFFF"/>
            </a:clrFrom>
            <a:clrTo>
              <a:srgbClr val="FFFFFF">
                <a:alpha val="0"/>
              </a:srgbClr>
            </a:clrTo>
          </a:clrChange>
          <a:alphaModFix/>
          <a:extLst>
            <a:ext uri="{28A0092B-C50C-407E-A947-70E740481C1C}">
              <a14:useLocalDpi xmlns:a14="http://schemas.microsoft.com/office/drawing/2010/main" val="0"/>
            </a:ext>
          </a:extLst>
        </a:blip>
        <a:stretch>
          <a:fillRect/>
        </a:stretch>
      </xdr:blipFill>
      <xdr:spPr>
        <a:xfrm>
          <a:off x="190500" y="146050"/>
          <a:ext cx="869949" cy="869949"/>
        </a:xfrm>
        <a:prstGeom prst="rect">
          <a:avLst/>
        </a:prstGeom>
      </xdr:spPr>
    </xdr:pic>
    <xdr:clientData/>
  </xdr:twoCellAnchor>
  <xdr:twoCellAnchor>
    <xdr:from>
      <xdr:col>6</xdr:col>
      <xdr:colOff>463550</xdr:colOff>
      <xdr:row>0</xdr:row>
      <xdr:rowOff>114300</xdr:rowOff>
    </xdr:from>
    <xdr:to>
      <xdr:col>8</xdr:col>
      <xdr:colOff>596900</xdr:colOff>
      <xdr:row>6</xdr:row>
      <xdr:rowOff>0</xdr:rowOff>
    </xdr:to>
    <xdr:sp macro="" textlink="">
      <xdr:nvSpPr>
        <xdr:cNvPr id="20" name="Rectangle: Rounded Corners 19">
          <a:extLst>
            <a:ext uri="{FF2B5EF4-FFF2-40B4-BE49-F238E27FC236}">
              <a16:creationId xmlns:a16="http://schemas.microsoft.com/office/drawing/2014/main" id="{12BAD8EC-C5F1-4ADA-894C-448FB1F67DF4}"/>
            </a:ext>
          </a:extLst>
        </xdr:cNvPr>
        <xdr:cNvSpPr/>
      </xdr:nvSpPr>
      <xdr:spPr>
        <a:xfrm>
          <a:off x="4121150" y="114300"/>
          <a:ext cx="1352550" cy="990600"/>
        </a:xfrm>
        <a:prstGeom prst="round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1">
                <a:lumMod val="50000"/>
              </a:schemeClr>
            </a:solidFill>
          </a:endParaRPr>
        </a:p>
      </xdr:txBody>
    </xdr:sp>
    <xdr:clientData/>
  </xdr:twoCellAnchor>
  <xdr:twoCellAnchor>
    <xdr:from>
      <xdr:col>2</xdr:col>
      <xdr:colOff>95250</xdr:colOff>
      <xdr:row>6</xdr:row>
      <xdr:rowOff>38100</xdr:rowOff>
    </xdr:from>
    <xdr:to>
      <xdr:col>4</xdr:col>
      <xdr:colOff>184150</xdr:colOff>
      <xdr:row>11</xdr:row>
      <xdr:rowOff>107950</xdr:rowOff>
    </xdr:to>
    <xdr:sp macro="" textlink="'Pivote report'!A4">
      <xdr:nvSpPr>
        <xdr:cNvPr id="21" name="Rectangle: Rounded Corners 20">
          <a:extLst>
            <a:ext uri="{FF2B5EF4-FFF2-40B4-BE49-F238E27FC236}">
              <a16:creationId xmlns:a16="http://schemas.microsoft.com/office/drawing/2014/main" id="{21782045-53C7-4399-A2B1-BCE2A6D53977}"/>
            </a:ext>
          </a:extLst>
        </xdr:cNvPr>
        <xdr:cNvSpPr/>
      </xdr:nvSpPr>
      <xdr:spPr>
        <a:xfrm>
          <a:off x="1314450" y="1143000"/>
          <a:ext cx="1308100" cy="990600"/>
        </a:xfrm>
        <a:prstGeom prst="round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288000" rtlCol="0" anchor="ctr" anchorCtr="1"/>
        <a:lstStyle/>
        <a:p>
          <a:pPr algn="ctr"/>
          <a:fld id="{80984416-C227-4C61-A5F9-264324811446}" type="TxLink">
            <a:rPr lang="en-US" sz="1300" b="0" i="0" u="none" strike="noStrike">
              <a:solidFill>
                <a:srgbClr val="000000"/>
              </a:solidFill>
              <a:latin typeface="Calibri"/>
              <a:ea typeface="Calibri"/>
              <a:cs typeface="Calibri"/>
            </a:rPr>
            <a:t>9216</a:t>
          </a:fld>
          <a:endParaRPr lang="en-IN" sz="1300">
            <a:solidFill>
              <a:schemeClr val="accent1">
                <a:lumMod val="50000"/>
              </a:schemeClr>
            </a:solidFill>
          </a:endParaRPr>
        </a:p>
      </xdr:txBody>
    </xdr:sp>
    <xdr:clientData/>
  </xdr:twoCellAnchor>
  <xdr:twoCellAnchor>
    <xdr:from>
      <xdr:col>4</xdr:col>
      <xdr:colOff>222250</xdr:colOff>
      <xdr:row>6</xdr:row>
      <xdr:rowOff>50800</xdr:rowOff>
    </xdr:from>
    <xdr:to>
      <xdr:col>6</xdr:col>
      <xdr:colOff>412750</xdr:colOff>
      <xdr:row>11</xdr:row>
      <xdr:rowOff>120650</xdr:rowOff>
    </xdr:to>
    <xdr:sp macro="" textlink="'Pivote report'!A10">
      <xdr:nvSpPr>
        <xdr:cNvPr id="22" name="Rectangle: Rounded Corners 21">
          <a:extLst>
            <a:ext uri="{FF2B5EF4-FFF2-40B4-BE49-F238E27FC236}">
              <a16:creationId xmlns:a16="http://schemas.microsoft.com/office/drawing/2014/main" id="{04DD01AB-1169-4833-8530-FBEF9B84C6AA}"/>
            </a:ext>
          </a:extLst>
        </xdr:cNvPr>
        <xdr:cNvSpPr/>
      </xdr:nvSpPr>
      <xdr:spPr>
        <a:xfrm>
          <a:off x="2660650" y="1155700"/>
          <a:ext cx="1409700" cy="990600"/>
        </a:xfrm>
        <a:prstGeom prst="round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3761DF01-227B-419A-9C4B-05C9EB0B0F2E}" type="TxLink">
            <a:rPr lang="en-US" sz="1400" b="0" i="0" u="none" strike="noStrike">
              <a:solidFill>
                <a:schemeClr val="accent1">
                  <a:lumMod val="50000"/>
                </a:schemeClr>
              </a:solidFill>
              <a:latin typeface="Calibri"/>
              <a:ea typeface="Calibri"/>
              <a:cs typeface="Calibri"/>
            </a:rPr>
            <a:pPr algn="ctr"/>
            <a:t>35.26</a:t>
          </a:fld>
          <a:endParaRPr lang="en-US" sz="1400" b="0" i="0" u="none" strike="noStrike">
            <a:solidFill>
              <a:schemeClr val="accent1">
                <a:lumMod val="50000"/>
              </a:schemeClr>
            </a:solidFill>
            <a:latin typeface="Calibri"/>
            <a:ea typeface="Calibri"/>
            <a:cs typeface="Calibri"/>
          </a:endParaRPr>
        </a:p>
        <a:p>
          <a:pPr algn="ctr"/>
          <a:r>
            <a:rPr lang="en-US" sz="1400" b="0" i="0" u="none" strike="noStrike">
              <a:solidFill>
                <a:schemeClr val="accent1">
                  <a:lumMod val="50000"/>
                </a:schemeClr>
              </a:solidFill>
              <a:latin typeface="Calibri"/>
              <a:ea typeface="Calibri"/>
              <a:cs typeface="Calibri"/>
            </a:rPr>
            <a:t>Avg.</a:t>
          </a:r>
          <a:r>
            <a:rPr lang="en-US" sz="1400" b="0" i="0" u="none" strike="noStrike" baseline="0">
              <a:solidFill>
                <a:schemeClr val="accent1">
                  <a:lumMod val="50000"/>
                </a:schemeClr>
              </a:solidFill>
              <a:latin typeface="Calibri"/>
              <a:ea typeface="Calibri"/>
              <a:cs typeface="Calibri"/>
            </a:rPr>
            <a:t> Wait Time</a:t>
          </a:r>
          <a:endParaRPr lang="en-IN" sz="1400">
            <a:solidFill>
              <a:schemeClr val="accent1">
                <a:lumMod val="50000"/>
              </a:schemeClr>
            </a:solidFill>
          </a:endParaRPr>
        </a:p>
      </xdr:txBody>
    </xdr:sp>
    <xdr:clientData/>
  </xdr:twoCellAnchor>
  <xdr:twoCellAnchor editAs="oneCell">
    <xdr:from>
      <xdr:col>2</xdr:col>
      <xdr:colOff>533400</xdr:colOff>
      <xdr:row>6</xdr:row>
      <xdr:rowOff>76200</xdr:rowOff>
    </xdr:from>
    <xdr:to>
      <xdr:col>3</xdr:col>
      <xdr:colOff>381000</xdr:colOff>
      <xdr:row>8</xdr:row>
      <xdr:rowOff>165100</xdr:rowOff>
    </xdr:to>
    <xdr:pic>
      <xdr:nvPicPr>
        <xdr:cNvPr id="27" name="Graphic 26" descr="User with solid fill">
          <a:extLst>
            <a:ext uri="{FF2B5EF4-FFF2-40B4-BE49-F238E27FC236}">
              <a16:creationId xmlns:a16="http://schemas.microsoft.com/office/drawing/2014/main" id="{7FBDB517-EE18-44EF-B642-69CBD52B6B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752600" y="1181100"/>
          <a:ext cx="457200" cy="457200"/>
        </a:xfrm>
        <a:prstGeom prst="rect">
          <a:avLst/>
        </a:prstGeom>
      </xdr:spPr>
    </xdr:pic>
    <xdr:clientData/>
  </xdr:twoCellAnchor>
  <xdr:twoCellAnchor editAs="oneCell">
    <xdr:from>
      <xdr:col>5</xdr:col>
      <xdr:colOff>114300</xdr:colOff>
      <xdr:row>6</xdr:row>
      <xdr:rowOff>120650</xdr:rowOff>
    </xdr:from>
    <xdr:to>
      <xdr:col>5</xdr:col>
      <xdr:colOff>514350</xdr:colOff>
      <xdr:row>8</xdr:row>
      <xdr:rowOff>152400</xdr:rowOff>
    </xdr:to>
    <xdr:pic>
      <xdr:nvPicPr>
        <xdr:cNvPr id="29" name="Graphic 28" descr="Hourglass Finished with solid fill">
          <a:extLst>
            <a:ext uri="{FF2B5EF4-FFF2-40B4-BE49-F238E27FC236}">
              <a16:creationId xmlns:a16="http://schemas.microsoft.com/office/drawing/2014/main" id="{C63ECB4A-C782-4281-BD52-296457FA8822}"/>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3162300" y="1225550"/>
          <a:ext cx="400050" cy="400050"/>
        </a:xfrm>
        <a:prstGeom prst="rect">
          <a:avLst/>
        </a:prstGeom>
      </xdr:spPr>
    </xdr:pic>
    <xdr:clientData/>
  </xdr:twoCellAnchor>
  <xdr:twoCellAnchor>
    <xdr:from>
      <xdr:col>6</xdr:col>
      <xdr:colOff>450850</xdr:colOff>
      <xdr:row>6</xdr:row>
      <xdr:rowOff>57150</xdr:rowOff>
    </xdr:from>
    <xdr:to>
      <xdr:col>8</xdr:col>
      <xdr:colOff>584200</xdr:colOff>
      <xdr:row>11</xdr:row>
      <xdr:rowOff>127000</xdr:rowOff>
    </xdr:to>
    <xdr:sp macro="" textlink="'Pivote report'!A15">
      <xdr:nvSpPr>
        <xdr:cNvPr id="33" name="Rectangle: Rounded Corners 32">
          <a:extLst>
            <a:ext uri="{FF2B5EF4-FFF2-40B4-BE49-F238E27FC236}">
              <a16:creationId xmlns:a16="http://schemas.microsoft.com/office/drawing/2014/main" id="{AE0CA0E3-739E-4278-88C2-736952B0E28B}"/>
            </a:ext>
          </a:extLst>
        </xdr:cNvPr>
        <xdr:cNvSpPr/>
      </xdr:nvSpPr>
      <xdr:spPr>
        <a:xfrm>
          <a:off x="4108450" y="1162050"/>
          <a:ext cx="1352550" cy="990600"/>
        </a:xfrm>
        <a:prstGeom prst="round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0" tIns="0" rIns="0" rtlCol="0" anchor="b"/>
        <a:lstStyle/>
        <a:p>
          <a:pPr algn="ctr"/>
          <a:fld id="{A33DE2F1-256D-40A1-83F3-B8BF8FD60245}" type="TxLink">
            <a:rPr lang="en-US" sz="1400" b="0" i="0" u="none" strike="noStrike">
              <a:solidFill>
                <a:schemeClr val="accent1">
                  <a:lumMod val="50000"/>
                </a:schemeClr>
              </a:solidFill>
              <a:latin typeface="Calibri"/>
              <a:ea typeface="Calibri"/>
              <a:cs typeface="Calibri"/>
            </a:rPr>
            <a:pPr algn="ctr"/>
            <a:t>4.99</a:t>
          </a:fld>
          <a:endParaRPr lang="en-US" sz="1400" b="0" i="0" u="none" strike="noStrike">
            <a:solidFill>
              <a:schemeClr val="accent1">
                <a:lumMod val="50000"/>
              </a:schemeClr>
            </a:solidFill>
            <a:latin typeface="Calibri"/>
            <a:ea typeface="Calibri"/>
            <a:cs typeface="Calibri"/>
          </a:endParaRPr>
        </a:p>
        <a:p>
          <a:pPr algn="ctr"/>
          <a:r>
            <a:rPr lang="en-US" sz="1400" b="0" i="0" u="none" strike="noStrike">
              <a:solidFill>
                <a:schemeClr val="accent1">
                  <a:lumMod val="50000"/>
                </a:schemeClr>
              </a:solidFill>
              <a:latin typeface="Calibri"/>
              <a:ea typeface="Calibri"/>
              <a:cs typeface="Calibri"/>
            </a:rPr>
            <a:t>Satisfaction</a:t>
          </a:r>
          <a:r>
            <a:rPr lang="en-US" sz="1400" b="0" i="0" u="none" strike="noStrike" baseline="0">
              <a:solidFill>
                <a:schemeClr val="accent1">
                  <a:lumMod val="50000"/>
                </a:schemeClr>
              </a:solidFill>
              <a:latin typeface="Calibri"/>
              <a:ea typeface="Calibri"/>
              <a:cs typeface="Calibri"/>
            </a:rPr>
            <a:t> </a:t>
          </a:r>
          <a:r>
            <a:rPr lang="en-US" sz="1400" b="0" i="0" u="none" strike="noStrike">
              <a:solidFill>
                <a:schemeClr val="accent1">
                  <a:lumMod val="50000"/>
                </a:schemeClr>
              </a:solidFill>
              <a:latin typeface="Calibri"/>
              <a:ea typeface="Calibri"/>
              <a:cs typeface="Calibri"/>
            </a:rPr>
            <a:t>Score</a:t>
          </a:r>
          <a:endParaRPr lang="en-IN" sz="1400">
            <a:solidFill>
              <a:schemeClr val="accent1">
                <a:lumMod val="50000"/>
              </a:schemeClr>
            </a:solidFill>
          </a:endParaRPr>
        </a:p>
      </xdr:txBody>
    </xdr:sp>
    <xdr:clientData/>
  </xdr:twoCellAnchor>
  <xdr:twoCellAnchor editAs="oneCell">
    <xdr:from>
      <xdr:col>7</xdr:col>
      <xdr:colOff>298450</xdr:colOff>
      <xdr:row>6</xdr:row>
      <xdr:rowOff>120650</xdr:rowOff>
    </xdr:from>
    <xdr:to>
      <xdr:col>8</xdr:col>
      <xdr:colOff>107950</xdr:colOff>
      <xdr:row>8</xdr:row>
      <xdr:rowOff>171450</xdr:rowOff>
    </xdr:to>
    <xdr:pic>
      <xdr:nvPicPr>
        <xdr:cNvPr id="35" name="Graphic 34" descr="Customer review with solid fill">
          <a:extLst>
            <a:ext uri="{FF2B5EF4-FFF2-40B4-BE49-F238E27FC236}">
              <a16:creationId xmlns:a16="http://schemas.microsoft.com/office/drawing/2014/main" id="{378BF206-36DB-4DB5-A536-E9D0505B7708}"/>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4565650" y="1225550"/>
          <a:ext cx="419100" cy="419100"/>
        </a:xfrm>
        <a:prstGeom prst="rect">
          <a:avLst/>
        </a:prstGeom>
      </xdr:spPr>
    </xdr:pic>
    <xdr:clientData/>
  </xdr:twoCellAnchor>
  <xdr:twoCellAnchor>
    <xdr:from>
      <xdr:col>2</xdr:col>
      <xdr:colOff>82550</xdr:colOff>
      <xdr:row>11</xdr:row>
      <xdr:rowOff>171450</xdr:rowOff>
    </xdr:from>
    <xdr:to>
      <xdr:col>8</xdr:col>
      <xdr:colOff>565150</xdr:colOff>
      <xdr:row>16</xdr:row>
      <xdr:rowOff>44450</xdr:rowOff>
    </xdr:to>
    <xdr:sp macro="" textlink="">
      <xdr:nvSpPr>
        <xdr:cNvPr id="13" name="Rectangle: Rounded Corners 12">
          <a:extLst>
            <a:ext uri="{FF2B5EF4-FFF2-40B4-BE49-F238E27FC236}">
              <a16:creationId xmlns:a16="http://schemas.microsoft.com/office/drawing/2014/main" id="{5D186A3E-9A15-4C1B-8572-A5AE33408C7D}"/>
            </a:ext>
          </a:extLst>
        </xdr:cNvPr>
        <xdr:cNvSpPr/>
      </xdr:nvSpPr>
      <xdr:spPr>
        <a:xfrm>
          <a:off x="1301750" y="2197100"/>
          <a:ext cx="4140200" cy="793750"/>
        </a:xfrm>
        <a:prstGeom prst="round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1">
                <a:lumMod val="50000"/>
              </a:schemeClr>
            </a:solidFill>
          </a:endParaRPr>
        </a:p>
      </xdr:txBody>
    </xdr:sp>
    <xdr:clientData/>
  </xdr:twoCellAnchor>
  <xdr:twoCellAnchor>
    <xdr:from>
      <xdr:col>0</xdr:col>
      <xdr:colOff>0</xdr:colOff>
      <xdr:row>23</xdr:row>
      <xdr:rowOff>6350</xdr:rowOff>
    </xdr:from>
    <xdr:to>
      <xdr:col>0</xdr:col>
      <xdr:colOff>0</xdr:colOff>
      <xdr:row>28</xdr:row>
      <xdr:rowOff>76200</xdr:rowOff>
    </xdr:to>
    <xdr:sp macro="" textlink="">
      <xdr:nvSpPr>
        <xdr:cNvPr id="14" name="Rectangle: Rounded Corners 13">
          <a:extLst>
            <a:ext uri="{FF2B5EF4-FFF2-40B4-BE49-F238E27FC236}">
              <a16:creationId xmlns:a16="http://schemas.microsoft.com/office/drawing/2014/main" id="{C88D2CA9-9B55-4A8C-880B-AA21ED610ECA}"/>
            </a:ext>
          </a:extLst>
        </xdr:cNvPr>
        <xdr:cNvSpPr/>
      </xdr:nvSpPr>
      <xdr:spPr>
        <a:xfrm>
          <a:off x="0" y="4241800"/>
          <a:ext cx="0" cy="990600"/>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1">
                <a:lumMod val="50000"/>
              </a:schemeClr>
            </a:solidFill>
          </a:endParaRPr>
        </a:p>
      </xdr:txBody>
    </xdr:sp>
    <xdr:clientData/>
  </xdr:twoCellAnchor>
  <xdr:twoCellAnchor>
    <xdr:from>
      <xdr:col>2</xdr:col>
      <xdr:colOff>95250</xdr:colOff>
      <xdr:row>16</xdr:row>
      <xdr:rowOff>114300</xdr:rowOff>
    </xdr:from>
    <xdr:to>
      <xdr:col>8</xdr:col>
      <xdr:colOff>539750</xdr:colOff>
      <xdr:row>26</xdr:row>
      <xdr:rowOff>101600</xdr:rowOff>
    </xdr:to>
    <xdr:sp macro="" textlink="">
      <xdr:nvSpPr>
        <xdr:cNvPr id="15" name="Rectangle: Rounded Corners 14">
          <a:extLst>
            <a:ext uri="{FF2B5EF4-FFF2-40B4-BE49-F238E27FC236}">
              <a16:creationId xmlns:a16="http://schemas.microsoft.com/office/drawing/2014/main" id="{85D12744-E8F9-4EEC-B855-216C4CDA74C4}"/>
            </a:ext>
          </a:extLst>
        </xdr:cNvPr>
        <xdr:cNvSpPr/>
      </xdr:nvSpPr>
      <xdr:spPr>
        <a:xfrm>
          <a:off x="1314450" y="3060700"/>
          <a:ext cx="4102100" cy="1828800"/>
        </a:xfrm>
        <a:prstGeom prst="round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1">
                <a:lumMod val="50000"/>
              </a:schemeClr>
            </a:solidFill>
          </a:endParaRPr>
        </a:p>
      </xdr:txBody>
    </xdr:sp>
    <xdr:clientData/>
  </xdr:twoCellAnchor>
  <mc:AlternateContent xmlns:mc="http://schemas.openxmlformats.org/markup-compatibility/2006">
    <mc:Choice xmlns:a14="http://schemas.microsoft.com/office/drawing/2010/main" Requires="a14">
      <xdr:twoCellAnchor editAs="oneCell">
        <xdr:from>
          <xdr:col>2</xdr:col>
          <xdr:colOff>76200</xdr:colOff>
          <xdr:row>12</xdr:row>
          <xdr:rowOff>95250</xdr:rowOff>
        </xdr:from>
        <xdr:to>
          <xdr:col>8</xdr:col>
          <xdr:colOff>558800</xdr:colOff>
          <xdr:row>15</xdr:row>
          <xdr:rowOff>101600</xdr:rowOff>
        </xdr:to>
        <xdr:pic>
          <xdr:nvPicPr>
            <xdr:cNvPr id="23" name="Picture 22">
              <a:extLst>
                <a:ext uri="{FF2B5EF4-FFF2-40B4-BE49-F238E27FC236}">
                  <a16:creationId xmlns:a16="http://schemas.microsoft.com/office/drawing/2014/main" id="{9B441EB9-004E-4893-8710-4F8281850D1D}"/>
                </a:ext>
              </a:extLst>
            </xdr:cNvPr>
            <xdr:cNvPicPr>
              <a:picLocks noChangeAspect="1" noChangeArrowheads="1"/>
              <a:extLst>
                <a:ext uri="{84589F7E-364E-4C9E-8A38-B11213B215E9}">
                  <a14:cameraTool cellRange="'Pivote report'!$A$383:$D$385" spid="_x0000_s1059"/>
                </a:ext>
              </a:extLst>
            </xdr:cNvPicPr>
          </xdr:nvPicPr>
          <xdr:blipFill>
            <a:blip xmlns:r="http://schemas.openxmlformats.org/officeDocument/2006/relationships" r:embed="rId8"/>
            <a:srcRect/>
            <a:stretch>
              <a:fillRect/>
            </a:stretch>
          </xdr:blipFill>
          <xdr:spPr bwMode="auto">
            <a:xfrm>
              <a:off x="1295400" y="2305050"/>
              <a:ext cx="4140200" cy="55880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xdr:col>
      <xdr:colOff>95250</xdr:colOff>
      <xdr:row>16</xdr:row>
      <xdr:rowOff>107950</xdr:rowOff>
    </xdr:from>
    <xdr:to>
      <xdr:col>8</xdr:col>
      <xdr:colOff>533400</xdr:colOff>
      <xdr:row>25</xdr:row>
      <xdr:rowOff>12700</xdr:rowOff>
    </xdr:to>
    <xdr:graphicFrame macro="">
      <xdr:nvGraphicFramePr>
        <xdr:cNvPr id="24" name="Chart 23">
          <a:extLst>
            <a:ext uri="{FF2B5EF4-FFF2-40B4-BE49-F238E27FC236}">
              <a16:creationId xmlns:a16="http://schemas.microsoft.com/office/drawing/2014/main" id="{6C91370F-F914-493A-9556-3173564CA7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38100</xdr:colOff>
      <xdr:row>0</xdr:row>
      <xdr:rowOff>127000</xdr:rowOff>
    </xdr:from>
    <xdr:to>
      <xdr:col>12</xdr:col>
      <xdr:colOff>482600</xdr:colOff>
      <xdr:row>11</xdr:row>
      <xdr:rowOff>146050</xdr:rowOff>
    </xdr:to>
    <xdr:sp macro="" textlink="">
      <xdr:nvSpPr>
        <xdr:cNvPr id="19" name="Rectangle: Rounded Corners 18">
          <a:extLst>
            <a:ext uri="{FF2B5EF4-FFF2-40B4-BE49-F238E27FC236}">
              <a16:creationId xmlns:a16="http://schemas.microsoft.com/office/drawing/2014/main" id="{ADF0535F-4FDB-4A79-A9BD-444B060B0950}"/>
            </a:ext>
          </a:extLst>
        </xdr:cNvPr>
        <xdr:cNvSpPr/>
      </xdr:nvSpPr>
      <xdr:spPr>
        <a:xfrm>
          <a:off x="5524500" y="127000"/>
          <a:ext cx="2273300" cy="2044700"/>
        </a:xfrm>
        <a:prstGeom prst="round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endParaRPr lang="en-IN" sz="1100" b="1">
            <a:solidFill>
              <a:schemeClr val="accent1">
                <a:lumMod val="50000"/>
              </a:schemeClr>
            </a:solidFill>
          </a:endParaRPr>
        </a:p>
      </xdr:txBody>
    </xdr:sp>
    <xdr:clientData/>
  </xdr:twoCellAnchor>
  <xdr:twoCellAnchor>
    <xdr:from>
      <xdr:col>9</xdr:col>
      <xdr:colOff>38100</xdr:colOff>
      <xdr:row>0</xdr:row>
      <xdr:rowOff>120650</xdr:rowOff>
    </xdr:from>
    <xdr:to>
      <xdr:col>12</xdr:col>
      <xdr:colOff>482600</xdr:colOff>
      <xdr:row>11</xdr:row>
      <xdr:rowOff>127000</xdr:rowOff>
    </xdr:to>
    <xdr:graphicFrame macro="">
      <xdr:nvGraphicFramePr>
        <xdr:cNvPr id="26" name="Chart 25">
          <a:extLst>
            <a:ext uri="{FF2B5EF4-FFF2-40B4-BE49-F238E27FC236}">
              <a16:creationId xmlns:a16="http://schemas.microsoft.com/office/drawing/2014/main" id="{11303A17-CB14-4A9F-B941-7016AFD24B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114300</xdr:colOff>
      <xdr:row>10</xdr:row>
      <xdr:rowOff>0</xdr:rowOff>
    </xdr:from>
    <xdr:to>
      <xdr:col>12</xdr:col>
      <xdr:colOff>501650</xdr:colOff>
      <xdr:row>11</xdr:row>
      <xdr:rowOff>146050</xdr:rowOff>
    </xdr:to>
    <xdr:sp macro="" textlink="">
      <xdr:nvSpPr>
        <xdr:cNvPr id="3" name="TextBox 2">
          <a:extLst>
            <a:ext uri="{FF2B5EF4-FFF2-40B4-BE49-F238E27FC236}">
              <a16:creationId xmlns:a16="http://schemas.microsoft.com/office/drawing/2014/main" id="{21D6D9DC-DB8F-446E-A550-B14D53CE7E5A}"/>
            </a:ext>
          </a:extLst>
        </xdr:cNvPr>
        <xdr:cNvSpPr txBox="1"/>
      </xdr:nvSpPr>
      <xdr:spPr>
        <a:xfrm>
          <a:off x="5600700" y="1841500"/>
          <a:ext cx="2216150"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400" b="0">
              <a:solidFill>
                <a:schemeClr val="accent1">
                  <a:lumMod val="50000"/>
                </a:schemeClr>
              </a:solidFill>
              <a:effectLst/>
              <a:latin typeface="+mn-lt"/>
              <a:ea typeface="+mn-ea"/>
              <a:cs typeface="+mn-cs"/>
            </a:rPr>
            <a:t>Patients attented within time</a:t>
          </a:r>
          <a:endParaRPr lang="en-IN" b="0">
            <a:solidFill>
              <a:schemeClr val="accent1">
                <a:lumMod val="50000"/>
              </a:schemeClr>
            </a:solidFill>
            <a:effectLst/>
          </a:endParaRPr>
        </a:p>
      </xdr:txBody>
    </xdr:sp>
    <xdr:clientData/>
  </xdr:twoCellAnchor>
  <xdr:twoCellAnchor>
    <xdr:from>
      <xdr:col>12</xdr:col>
      <xdr:colOff>533400</xdr:colOff>
      <xdr:row>0</xdr:row>
      <xdr:rowOff>114300</xdr:rowOff>
    </xdr:from>
    <xdr:to>
      <xdr:col>16</xdr:col>
      <xdr:colOff>361950</xdr:colOff>
      <xdr:row>11</xdr:row>
      <xdr:rowOff>146050</xdr:rowOff>
    </xdr:to>
    <xdr:sp macro="" textlink="">
      <xdr:nvSpPr>
        <xdr:cNvPr id="28" name="Rectangle: Rounded Corners 27">
          <a:extLst>
            <a:ext uri="{FF2B5EF4-FFF2-40B4-BE49-F238E27FC236}">
              <a16:creationId xmlns:a16="http://schemas.microsoft.com/office/drawing/2014/main" id="{57997AD0-EE4B-4D49-830C-62EBA14E02B0}"/>
            </a:ext>
          </a:extLst>
        </xdr:cNvPr>
        <xdr:cNvSpPr/>
      </xdr:nvSpPr>
      <xdr:spPr>
        <a:xfrm>
          <a:off x="7848600" y="114300"/>
          <a:ext cx="2266950" cy="2057400"/>
        </a:xfrm>
        <a:prstGeom prst="round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1">
                <a:lumMod val="50000"/>
              </a:schemeClr>
            </a:solidFill>
          </a:endParaRPr>
        </a:p>
      </xdr:txBody>
    </xdr:sp>
    <xdr:clientData/>
  </xdr:twoCellAnchor>
  <xdr:twoCellAnchor>
    <xdr:from>
      <xdr:col>12</xdr:col>
      <xdr:colOff>539749</xdr:colOff>
      <xdr:row>0</xdr:row>
      <xdr:rowOff>107950</xdr:rowOff>
    </xdr:from>
    <xdr:to>
      <xdr:col>16</xdr:col>
      <xdr:colOff>361950</xdr:colOff>
      <xdr:row>11</xdr:row>
      <xdr:rowOff>146050</xdr:rowOff>
    </xdr:to>
    <xdr:graphicFrame macro="">
      <xdr:nvGraphicFramePr>
        <xdr:cNvPr id="30" name="Chart 29">
          <a:extLst>
            <a:ext uri="{FF2B5EF4-FFF2-40B4-BE49-F238E27FC236}">
              <a16:creationId xmlns:a16="http://schemas.microsoft.com/office/drawing/2014/main" id="{E13BD749-7114-41B5-9581-7AA7E54DD6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38100</xdr:colOff>
      <xdr:row>12</xdr:row>
      <xdr:rowOff>50800</xdr:rowOff>
    </xdr:from>
    <xdr:to>
      <xdr:col>16</xdr:col>
      <xdr:colOff>349250</xdr:colOff>
      <xdr:row>26</xdr:row>
      <xdr:rowOff>76200</xdr:rowOff>
    </xdr:to>
    <xdr:sp macro="" textlink="">
      <xdr:nvSpPr>
        <xdr:cNvPr id="32" name="Rectangle: Rounded Corners 31">
          <a:extLst>
            <a:ext uri="{FF2B5EF4-FFF2-40B4-BE49-F238E27FC236}">
              <a16:creationId xmlns:a16="http://schemas.microsoft.com/office/drawing/2014/main" id="{C40E5534-D202-4FC5-8E61-878F197B0D4F}"/>
            </a:ext>
          </a:extLst>
        </xdr:cNvPr>
        <xdr:cNvSpPr/>
      </xdr:nvSpPr>
      <xdr:spPr>
        <a:xfrm>
          <a:off x="5524500" y="2260600"/>
          <a:ext cx="4578350" cy="2603500"/>
        </a:xfrm>
        <a:prstGeom prst="round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1">
                <a:lumMod val="50000"/>
              </a:schemeClr>
            </a:solidFill>
          </a:endParaRPr>
        </a:p>
      </xdr:txBody>
    </xdr:sp>
    <xdr:clientData/>
  </xdr:twoCellAnchor>
  <xdr:twoCellAnchor>
    <xdr:from>
      <xdr:col>13</xdr:col>
      <xdr:colOff>228600</xdr:colOff>
      <xdr:row>9</xdr:row>
      <xdr:rowOff>146050</xdr:rowOff>
    </xdr:from>
    <xdr:to>
      <xdr:col>16</xdr:col>
      <xdr:colOff>76200</xdr:colOff>
      <xdr:row>11</xdr:row>
      <xdr:rowOff>69850</xdr:rowOff>
    </xdr:to>
    <xdr:sp macro="" textlink="">
      <xdr:nvSpPr>
        <xdr:cNvPr id="34" name="TextBox 33">
          <a:extLst>
            <a:ext uri="{FF2B5EF4-FFF2-40B4-BE49-F238E27FC236}">
              <a16:creationId xmlns:a16="http://schemas.microsoft.com/office/drawing/2014/main" id="{613C43C2-CF46-4FBD-8BA9-43A279BF9ABE}"/>
            </a:ext>
          </a:extLst>
        </xdr:cNvPr>
        <xdr:cNvSpPr txBox="1"/>
      </xdr:nvSpPr>
      <xdr:spPr>
        <a:xfrm>
          <a:off x="8153400" y="1803400"/>
          <a:ext cx="167640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0">
              <a:solidFill>
                <a:schemeClr val="accent1">
                  <a:lumMod val="50000"/>
                </a:schemeClr>
              </a:solidFill>
              <a:effectLst/>
              <a:latin typeface="+mn-lt"/>
              <a:ea typeface="+mn-ea"/>
              <a:cs typeface="+mn-cs"/>
            </a:rPr>
            <a:t>Gender wise</a:t>
          </a:r>
          <a:r>
            <a:rPr lang="en-IN" sz="1400" b="0" baseline="0">
              <a:solidFill>
                <a:schemeClr val="accent1">
                  <a:lumMod val="50000"/>
                </a:schemeClr>
              </a:solidFill>
              <a:effectLst/>
              <a:latin typeface="+mn-lt"/>
              <a:ea typeface="+mn-ea"/>
              <a:cs typeface="+mn-cs"/>
            </a:rPr>
            <a:t> analysis</a:t>
          </a:r>
          <a:endParaRPr lang="en-IN" b="0">
            <a:solidFill>
              <a:schemeClr val="accent1">
                <a:lumMod val="50000"/>
              </a:schemeClr>
            </a:solidFill>
            <a:effectLst/>
          </a:endParaRPr>
        </a:p>
      </xdr:txBody>
    </xdr:sp>
    <xdr:clientData/>
  </xdr:twoCellAnchor>
  <xdr:twoCellAnchor>
    <xdr:from>
      <xdr:col>9</xdr:col>
      <xdr:colOff>50800</xdr:colOff>
      <xdr:row>12</xdr:row>
      <xdr:rowOff>50800</xdr:rowOff>
    </xdr:from>
    <xdr:to>
      <xdr:col>16</xdr:col>
      <xdr:colOff>336550</xdr:colOff>
      <xdr:row>26</xdr:row>
      <xdr:rowOff>88900</xdr:rowOff>
    </xdr:to>
    <xdr:graphicFrame macro="">
      <xdr:nvGraphicFramePr>
        <xdr:cNvPr id="37" name="Chart 36">
          <a:extLst>
            <a:ext uri="{FF2B5EF4-FFF2-40B4-BE49-F238E27FC236}">
              <a16:creationId xmlns:a16="http://schemas.microsoft.com/office/drawing/2014/main" id="{58257400-B8AA-442F-AB10-3180F61A3D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488950</xdr:colOff>
      <xdr:row>24</xdr:row>
      <xdr:rowOff>152400</xdr:rowOff>
    </xdr:from>
    <xdr:to>
      <xdr:col>7</xdr:col>
      <xdr:colOff>101600</xdr:colOff>
      <xdr:row>26</xdr:row>
      <xdr:rowOff>76200</xdr:rowOff>
    </xdr:to>
    <xdr:sp macro="" textlink="">
      <xdr:nvSpPr>
        <xdr:cNvPr id="38" name="TextBox 37">
          <a:extLst>
            <a:ext uri="{FF2B5EF4-FFF2-40B4-BE49-F238E27FC236}">
              <a16:creationId xmlns:a16="http://schemas.microsoft.com/office/drawing/2014/main" id="{A60B1FCD-D00A-49BB-A05A-B48FE0D7E728}"/>
            </a:ext>
          </a:extLst>
        </xdr:cNvPr>
        <xdr:cNvSpPr txBox="1"/>
      </xdr:nvSpPr>
      <xdr:spPr>
        <a:xfrm>
          <a:off x="2317750" y="4572000"/>
          <a:ext cx="205105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0">
              <a:solidFill>
                <a:schemeClr val="accent1">
                  <a:lumMod val="50000"/>
                </a:schemeClr>
              </a:solidFill>
              <a:effectLst/>
              <a:latin typeface="+mn-lt"/>
              <a:ea typeface="+mn-ea"/>
              <a:cs typeface="+mn-cs"/>
            </a:rPr>
            <a:t>No. of patient by age group</a:t>
          </a:r>
          <a:endParaRPr lang="en-IN" b="0">
            <a:solidFill>
              <a:schemeClr val="accent1">
                <a:lumMod val="50000"/>
              </a:schemeClr>
            </a:solidFill>
            <a:effectLst/>
          </a:endParaRPr>
        </a:p>
      </xdr:txBody>
    </xdr:sp>
    <xdr:clientData/>
  </xdr:twoCellAnchor>
  <xdr:twoCellAnchor>
    <xdr:from>
      <xdr:col>10</xdr:col>
      <xdr:colOff>228600</xdr:colOff>
      <xdr:row>24</xdr:row>
      <xdr:rowOff>152400</xdr:rowOff>
    </xdr:from>
    <xdr:to>
      <xdr:col>15</xdr:col>
      <xdr:colOff>44450</xdr:colOff>
      <xdr:row>26</xdr:row>
      <xdr:rowOff>76200</xdr:rowOff>
    </xdr:to>
    <xdr:sp macro="" textlink="">
      <xdr:nvSpPr>
        <xdr:cNvPr id="39" name="TextBox 38">
          <a:extLst>
            <a:ext uri="{FF2B5EF4-FFF2-40B4-BE49-F238E27FC236}">
              <a16:creationId xmlns:a16="http://schemas.microsoft.com/office/drawing/2014/main" id="{4B4827B4-F630-42D7-9EC8-C23664B14420}"/>
            </a:ext>
          </a:extLst>
        </xdr:cNvPr>
        <xdr:cNvSpPr txBox="1"/>
      </xdr:nvSpPr>
      <xdr:spPr>
        <a:xfrm>
          <a:off x="6324600" y="4572000"/>
          <a:ext cx="286385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0">
              <a:solidFill>
                <a:schemeClr val="accent1">
                  <a:lumMod val="50000"/>
                </a:schemeClr>
              </a:solidFill>
              <a:effectLst/>
              <a:latin typeface="+mn-lt"/>
              <a:ea typeface="+mn-ea"/>
              <a:cs typeface="+mn-cs"/>
            </a:rPr>
            <a:t>No. of patient by department</a:t>
          </a:r>
          <a:r>
            <a:rPr lang="en-IN" sz="1400" b="0" baseline="0">
              <a:solidFill>
                <a:schemeClr val="accent1">
                  <a:lumMod val="50000"/>
                </a:schemeClr>
              </a:solidFill>
              <a:effectLst/>
              <a:latin typeface="+mn-lt"/>
              <a:ea typeface="+mn-ea"/>
              <a:cs typeface="+mn-cs"/>
            </a:rPr>
            <a:t> referal</a:t>
          </a:r>
          <a:endParaRPr lang="en-IN" b="0">
            <a:solidFill>
              <a:schemeClr val="accent1">
                <a:lumMod val="50000"/>
              </a:schemeClr>
            </a:solidFill>
            <a:effectLst/>
          </a:endParaRPr>
        </a:p>
      </xdr:txBody>
    </xdr:sp>
    <xdr:clientData/>
  </xdr:twoCellAnchor>
  <xdr:twoCellAnchor editAs="oneCell">
    <xdr:from>
      <xdr:col>6</xdr:col>
      <xdr:colOff>565150</xdr:colOff>
      <xdr:row>0</xdr:row>
      <xdr:rowOff>152401</xdr:rowOff>
    </xdr:from>
    <xdr:to>
      <xdr:col>8</xdr:col>
      <xdr:colOff>463550</xdr:colOff>
      <xdr:row>6</xdr:row>
      <xdr:rowOff>0</xdr:rowOff>
    </xdr:to>
    <mc:AlternateContent xmlns:mc="http://schemas.openxmlformats.org/markup-compatibility/2006" xmlns:a14="http://schemas.microsoft.com/office/drawing/2010/main">
      <mc:Choice Requires="a14">
        <xdr:graphicFrame macro="">
          <xdr:nvGraphicFramePr>
            <xdr:cNvPr id="40" name="Date (Year)">
              <a:extLst>
                <a:ext uri="{FF2B5EF4-FFF2-40B4-BE49-F238E27FC236}">
                  <a16:creationId xmlns:a16="http://schemas.microsoft.com/office/drawing/2014/main" id="{7E770830-97CE-43EB-B25C-CC8CA10A333A}"/>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4222750" y="152401"/>
              <a:ext cx="1117600" cy="952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88900</xdr:colOff>
      <xdr:row>6</xdr:row>
      <xdr:rowOff>69850</xdr:rowOff>
    </xdr:from>
    <xdr:to>
      <xdr:col>2</xdr:col>
      <xdr:colOff>21700</xdr:colOff>
      <xdr:row>26</xdr:row>
      <xdr:rowOff>107950</xdr:rowOff>
    </xdr:to>
    <mc:AlternateContent xmlns:mc="http://schemas.openxmlformats.org/markup-compatibility/2006" xmlns:a14="http://schemas.microsoft.com/office/drawing/2010/main">
      <mc:Choice Requires="a14">
        <xdr:graphicFrame macro="">
          <xdr:nvGraphicFramePr>
            <xdr:cNvPr id="41" name="Month">
              <a:extLst>
                <a:ext uri="{FF2B5EF4-FFF2-40B4-BE49-F238E27FC236}">
                  <a16:creationId xmlns:a16="http://schemas.microsoft.com/office/drawing/2014/main" id="{ADDBF70D-B6B9-4554-BB48-1F91A4544E5E}"/>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88900" y="1174750"/>
              <a:ext cx="1152000" cy="3721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234950</xdr:colOff>
      <xdr:row>9</xdr:row>
      <xdr:rowOff>171450</xdr:rowOff>
    </xdr:from>
    <xdr:to>
      <xdr:col>4</xdr:col>
      <xdr:colOff>82550</xdr:colOff>
      <xdr:row>11</xdr:row>
      <xdr:rowOff>133350</xdr:rowOff>
    </xdr:to>
    <xdr:sp macro="" textlink="">
      <xdr:nvSpPr>
        <xdr:cNvPr id="31" name="TextBox 30">
          <a:extLst>
            <a:ext uri="{FF2B5EF4-FFF2-40B4-BE49-F238E27FC236}">
              <a16:creationId xmlns:a16="http://schemas.microsoft.com/office/drawing/2014/main" id="{4C1085DA-907D-4AAF-B293-1DABDFFB9286}"/>
            </a:ext>
          </a:extLst>
        </xdr:cNvPr>
        <xdr:cNvSpPr txBox="1"/>
      </xdr:nvSpPr>
      <xdr:spPr>
        <a:xfrm>
          <a:off x="1454150" y="1828800"/>
          <a:ext cx="1066800"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400" b="0">
              <a:solidFill>
                <a:schemeClr val="accent1">
                  <a:lumMod val="50000"/>
                </a:schemeClr>
              </a:solidFill>
              <a:effectLst/>
              <a:latin typeface="+mn-lt"/>
              <a:ea typeface="+mn-ea"/>
              <a:cs typeface="+mn-cs"/>
            </a:rPr>
            <a:t>No.</a:t>
          </a:r>
          <a:r>
            <a:rPr lang="en-IN" sz="1400" b="0" baseline="0">
              <a:solidFill>
                <a:schemeClr val="accent1">
                  <a:lumMod val="50000"/>
                </a:schemeClr>
              </a:solidFill>
              <a:effectLst/>
              <a:latin typeface="+mn-lt"/>
              <a:ea typeface="+mn-ea"/>
              <a:cs typeface="+mn-cs"/>
            </a:rPr>
            <a:t> of patiens</a:t>
          </a:r>
          <a:endParaRPr lang="en-IN" sz="1400" b="0">
            <a:solidFill>
              <a:schemeClr val="accent1">
                <a:lumMod val="50000"/>
              </a:schemeClr>
            </a:solidFill>
            <a:effectLst/>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88.323385648146" createdVersion="5" refreshedVersion="7" minRefreshableVersion="3" recordCount="0" supportSubquery="1" supportAdvancedDrill="1" xr:uid="{C4D23C9F-B568-492B-84E3-55448E486471}">
  <cacheSource type="external" connectionId="3"/>
  <cacheFields count="4">
    <cacheField name="[Calendar_Table].[Date].[Date]" caption="Date" numFmtId="0" level="1">
      <sharedItems containsSemiMixedTypes="0" containsNonDate="0" containsDate="1" containsString="0" minDate="2023-01-01T00:00:00" maxDate="2025-01-01T00:00:00" count="731">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sharedItems>
    </cacheField>
    <cacheField name="[Calendar_Table].[Date (Month)].[Date (Month)]" caption="Date (Month)" numFmtId="0" hierarchy="1" level="1">
      <sharedItems containsNonDate="0" count="12">
        <s v="Jan"/>
        <s v="Feb"/>
        <s v="Mar"/>
        <s v="Apr"/>
        <s v="May"/>
        <s v="Jun"/>
        <s v="Jul"/>
        <s v="Aug"/>
        <s v="Sep"/>
        <s v="Oct"/>
        <s v="Nov"/>
        <s v="Dec"/>
      </sharedItems>
    </cacheField>
    <cacheField name="[Calendar_Table].[Date (Quarter)].[Date (Quarter)]" caption="Date (Quarter)" numFmtId="0" hierarchy="4" level="1">
      <sharedItems containsNonDate="0" count="4">
        <s v="Qtr1"/>
        <s v="Qtr2"/>
        <s v="Qtr3"/>
        <s v="Qtr4"/>
      </sharedItems>
    </cacheField>
    <cacheField name="[Calendar_Table].[Date (Year)].[Date (Year)]" caption="Date (Year)" numFmtId="0" hierarchy="3" level="1">
      <sharedItems count="2">
        <s v="2023"/>
        <s v="2024"/>
      </sharedItems>
    </cacheField>
  </cacheFields>
  <cacheHierarchies count="37">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0"/>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2"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Time]" caption="Count of Patient Admission Ti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88.323386111108" createdVersion="5" refreshedVersion="7" minRefreshableVersion="3" recordCount="0" supportSubquery="1" supportAdvancedDrill="1" xr:uid="{D54B1BE9-D6F8-4381-9C6A-1B66EF422A8D}">
  <cacheSource type="external" connectionId="3"/>
  <cacheFields count="3">
    <cacheField name="[Hospital Emergency Room Data].[Patient attend status].[Patient attend status]" caption="Patient attend status" numFmtId="0" hierarchy="18" level="1">
      <sharedItems count="2">
        <s v="Delay"/>
        <s v="Ontime"/>
      </sharedItems>
    </cacheField>
    <cacheField name="[Measures].[Count of Patient attend status]" caption="Count of Patient attend status" numFmtId="0" hierarchy="34" level="32767"/>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0"/>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Time]" caption="Count of Patient Admission Ti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Patient attend status]" caption="Count of Patient attend status" measure="1" displayFolder="" measureGroup="Hospital Emergency Room Data"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88.323386921293" createdVersion="5" refreshedVersion="7" minRefreshableVersion="3" recordCount="0" supportSubquery="1" supportAdvancedDrill="1" xr:uid="{104A8223-3879-4E7B-BE65-4DADD96D773D}">
  <cacheSource type="external" connectionId="3"/>
  <cacheFields count="3">
    <cacheField name="[Hospital Emergency Room Data].[Age Group].[Age Group]" caption="Age Group" numFmtId="0" hierarchy="17" level="1">
      <sharedItems count="8">
        <s v="0-09"/>
        <s v="10-19"/>
        <s v="20-29"/>
        <s v="30-39"/>
        <s v="40-49"/>
        <s v="50-59"/>
        <s v="60-69"/>
        <s v="70-79"/>
      </sharedItems>
    </cacheField>
    <cacheField name="[Measures].[Count of Age Group]" caption="Count of Age Group" numFmtId="0" hierarchy="32" level="32767"/>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0"/>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Patient Admission Time]" caption="Count of Patient Admission Ti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88.323387384262" createdVersion="5" refreshedVersion="7" minRefreshableVersion="3" recordCount="0" supportSubquery="1" supportAdvancedDrill="1" xr:uid="{30860AC6-A944-4D31-A491-FA5BB9ECD857}">
  <cacheSource type="external" connectionId="3"/>
  <cacheFields count="3">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6" level="32767"/>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0"/>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Time]" caption="Count of Patient Admission Ti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1"/>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88.323387731478" createdVersion="5" refreshedVersion="7" minRefreshableVersion="3" recordCount="0" supportSubquery="1" supportAdvancedDrill="1" xr:uid="{26A74673-905A-40B3-AF44-BD863623B088}">
  <cacheSource type="external" connectionId="3"/>
  <cacheFields count="2">
    <cacheField name="[Measures].[Distinct Count of Patient Id]" caption="Distinct Count of Patient Id" numFmtId="0" hierarchy="25" level="32767"/>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1"/>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Time]" caption="Count of Patient Admission Ti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88.323388310186" createdVersion="5" refreshedVersion="7" minRefreshableVersion="3" recordCount="0" supportSubquery="1" supportAdvancedDrill="1" xr:uid="{D8CEAA5B-25EC-4C3F-84F3-8DED57C48C40}">
  <cacheSource type="external" connectionId="3"/>
  <cacheFields count="2">
    <cacheField name="[Measures].[Average of Patient Waittime]" caption="Average of Patient Waittime" numFmtId="0" hierarchy="28" level="32767"/>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1"/>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Time]" caption="Count of Patient Admission Ti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88.32338923611" createdVersion="5" refreshedVersion="7" minRefreshableVersion="3" recordCount="0" supportSubquery="1" supportAdvancedDrill="1" xr:uid="{1CC20473-79DD-45B7-81AA-A9EF4BAE4676}">
  <cacheSource type="external" connectionId="3"/>
  <cacheFields count="2">
    <cacheField name="[Measures].[Average of Patient Satisfaction Score]" caption="Average of Patient Satisfaction Score" numFmtId="0" hierarchy="30" level="32767"/>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1"/>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Time]" caption="Count of Patient Admission Ti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88.323390393518" createdVersion="5" refreshedVersion="7" minRefreshableVersion="3" recordCount="0" supportSubquery="1" supportAdvancedDrill="1" xr:uid="{C136AFF4-C60D-4532-84A0-DFD0D8311DB1}">
  <cacheSource type="external" connectionId="3"/>
  <cacheFields count="3">
    <cacheField name="[Measures].[Distinct Count of Patient Id]" caption="Distinct Count of Patient Id" numFmtId="0" hierarchy="25" level="32767"/>
    <cacheField name="[Calendar_Table].[Date (Day)].[Date (Day)]" caption="Date (Day)" numFmtId="0" hierarchy="2" level="1">
      <sharedItems count="36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haredItems>
    </cacheField>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Time]" caption="Count of Patient Admission Ti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88.323391550926" createdVersion="5" refreshedVersion="7" minRefreshableVersion="3" recordCount="0" supportSubquery="1" supportAdvancedDrill="1" xr:uid="{4063D7A3-D9B2-4A04-B43A-B9F0EFB0923D}">
  <cacheSource type="external" connectionId="3"/>
  <cacheFields count="3">
    <cacheField name="[Calendar_Table].[Date (Day)].[Date (Day)]" caption="Date (Day)" numFmtId="0" hierarchy="2" level="1">
      <sharedItems count="36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haredItems>
    </cacheField>
    <cacheField name="[Measures].[Average of Patient Waittime]" caption="Average of Patient Waittime" numFmtId="0" hierarchy="28" level="32767"/>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Time]" caption="Count of Patient Admission Ti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88.323392824073" createdVersion="5" refreshedVersion="7" minRefreshableVersion="3" recordCount="0" supportSubquery="1" supportAdvancedDrill="1" xr:uid="{67C9C974-5A66-4B94-AD8F-A327BE2FCD2E}">
  <cacheSource type="external" connectionId="3"/>
  <cacheFields count="3">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5" level="32767"/>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0"/>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Time]" caption="Count of Patient Admission Ti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88.323393171297" createdVersion="5" refreshedVersion="7" minRefreshableVersion="3" recordCount="0" supportSubquery="1" supportAdvancedDrill="1" xr:uid="{69D15727-268A-4E57-A682-50452D2898A5}">
  <cacheSource type="external" connectionId="3"/>
  <cacheFields count="2">
    <cacheField name="[Measures].[Average of Patient Satisfaction Score]" caption="Average of Patient Satisfaction Score" numFmtId="0" hierarchy="30" level="32767"/>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1"/>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Time]" caption="Count of Patient Admission Ti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88.32339409722" createdVersion="5" refreshedVersion="7" minRefreshableVersion="3" recordCount="0" supportSubquery="1" supportAdvancedDrill="1" xr:uid="{62A94E1E-F938-456E-BEBC-D5C9AB9B556C}">
  <cacheSource type="external" connectionId="3"/>
  <cacheFields count="4">
    <cacheField name="[Measures].[Count of Patient Admission Flag]" caption="Count of Patient Admission Flag" numFmtId="0" hierarchy="31" level="32767"/>
    <cacheField name="[Hospital Emergency Room Data].[Patient Admission Flag].[Patient Admission Flag]" caption="Patient Admission Flag" numFmtId="0" hierarchy="13" level="1">
      <sharedItems count="2">
        <s v="Admitted"/>
        <s v="Not Admitted"/>
      </sharedItems>
    </cacheField>
    <cacheField name="[Calendar_Table].[Date (Year)].[Date (Year)]" caption="Date (Year)" numFmtId="0" hierarchy="3" level="1">
      <sharedItems containsSemiMixedTypes="0" containsNonDate="0" containsString="0"/>
    </cacheField>
    <cacheField name="Dummy0" numFmtId="0" hierarchy="37" level="32767">
      <extLst>
        <ext xmlns:x14="http://schemas.microsoft.com/office/spreadsheetml/2009/9/main" uri="{63CAB8AC-B538-458d-9737-405883B0398D}">
          <x14:cacheField ignore="1"/>
        </ext>
      </extLst>
    </cacheField>
  </cacheFields>
  <cacheHierarchies count="38">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0"/>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Time]" caption="Count of Patient Admission Ti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67.912891898151" createdVersion="3" refreshedVersion="7" minRefreshableVersion="3" recordCount="0" supportSubquery="1" supportAdvancedDrill="1" xr:uid="{2029D2AE-BA09-4245-ABDE-D481131E4E75}">
  <cacheSource type="external" connectionId="3">
    <extLst>
      <ext xmlns:x14="http://schemas.microsoft.com/office/spreadsheetml/2009/9/main" uri="{F057638F-6D5F-4e77-A914-E7F072B9BCA8}">
        <x14:sourceConnection name="ThisWorkbookDataModel"/>
      </ext>
    </extLst>
  </cacheSource>
  <cacheFields count="0"/>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Time]" caption="Count of Patient Admission Ti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5101633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5268FEF-E30A-4590-A09F-3D81AB687D79}" name="PivotTable11" cacheId="600" applyNumberFormats="0" applyBorderFormats="0" applyFontFormats="0" applyPatternFormats="0" applyAlignmentFormats="0" applyWidthHeightFormats="1" dataCaption="Values" tag="60a30fb2-6d99-4e72-aeef-fa5ee4da48b6" updatedVersion="7" minRefreshableVersion="3" subtotalHiddenItems="1" itemPrintTitles="1" createdVersion="5" indent="0" outline="1" outlineData="1" multipleFieldFilters="0" chartFormat="20">
  <location ref="A414:B423" firstHeaderRow="1" firstDataRow="1" firstDataCol="1"/>
  <pivotFields count="3">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9">
    <i>
      <x v="7"/>
    </i>
    <i>
      <x v="1"/>
    </i>
    <i>
      <x v="3"/>
    </i>
    <i>
      <x/>
    </i>
    <i>
      <x v="6"/>
    </i>
    <i>
      <x v="5"/>
    </i>
    <i>
      <x v="2"/>
    </i>
    <i>
      <x v="4"/>
    </i>
    <i t="grand">
      <x/>
    </i>
  </rowItems>
  <colItems count="1">
    <i/>
  </colItems>
  <dataFields count="1">
    <dataField name="Count of Department Referral" fld="1" subtotal="count" baseField="0" baseItem="0"/>
  </dataFields>
  <formats count="1">
    <format dxfId="0">
      <pivotArea outline="0" collapsedLevelsAreSubtotals="1" fieldPosition="0"/>
    </format>
  </formats>
  <chartFormats count="2">
    <chartFormat chart="18" format="1"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includeNewItemsInFilter="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Count of Patient Waittime"/>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5CCE564-9930-424A-B29C-3C1B3F7DBA3E}" name="PivotTable4" cacheId="609" applyNumberFormats="0" applyBorderFormats="0" applyFontFormats="0" applyPatternFormats="0" applyAlignmentFormats="0" applyWidthHeightFormats="1" dataCaption="Values" tag="60a30fb2-6d99-4e72-aeef-fa5ee4da48b6" updatedVersion="7" minRefreshableVersion="3" useAutoFormatting="1" subtotalHiddenItems="1" itemPrintTitles="1" createdVersion="5" indent="0" outline="1" outlineData="1" multipleFieldFilters="0">
  <location ref="A14:A1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
      <pivotArea outline="0" collapsedLevelsAreSubtotals="1" fieldPosition="0"/>
    </format>
  </formats>
  <pivotHierarchies count="37">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Count of Patient Waittime"/>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B962934-9A55-4B4D-8DE2-C50B0FDB028C}" name="PivotTable9" cacheId="624" applyNumberFormats="0" applyBorderFormats="0" applyFontFormats="0" applyPatternFormats="0" applyAlignmentFormats="0" applyWidthHeightFormats="1" dataCaption="Values" tag="60a30fb2-6d99-4e72-aeef-fa5ee4da48b6" updatedVersion="7" minRefreshableVersion="3" subtotalHiddenItems="1" itemPrintTitles="1" createdVersion="5" indent="0" outline="1" outlineData="1" multipleFieldFilters="0" chartFormat="2">
  <location ref="A376:C379" firstHeaderRow="0" firstDataRow="1" firstDataCol="1"/>
  <pivotFields count="4">
    <pivotField dataField="1" subtotalTop="0" showAll="0" defaultSubtotal="0"/>
    <pivotField axis="axisRow" allDrilled="1" subtotalTop="0" showAll="0" includeNewItemsInFilter="1"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0" subtotal="count" baseField="0" baseItem="0" numFmtId="1"/>
    <dataField name="Count of Patient Admission Flag2" fld="3" subtotal="count" showDataAs="percentOfTotal" baseField="0" baseItem="0" numFmtId="10">
      <extLst>
        <ext xmlns:x14="http://schemas.microsoft.com/office/spreadsheetml/2009/9/main" uri="{E15A36E0-9728-4e99-A89B-3F7291B0FE68}">
          <x14:dataField sourceField="0" uniqueName="[__Xl2].[Measures].[Count of Patient Admission Flag]"/>
        </ext>
      </extLst>
    </dataField>
  </dataFields>
  <formats count="2">
    <format dxfId="3">
      <pivotArea outline="0" collapsedLevelsAreSubtotals="1" fieldPosition="0"/>
    </format>
    <format dxfId="2">
      <pivotArea outline="0" fieldPosition="0">
        <references count="1">
          <reference field="4294967294" count="1">
            <x v="1"/>
          </reference>
        </references>
      </pivotArea>
    </format>
  </format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pivotArea type="data" outline="0" fieldPosition="0">
        <references count="2">
          <reference field="4294967294" count="1" selected="0">
            <x v="0"/>
          </reference>
          <reference field="1" count="1" selected="0">
            <x v="0"/>
          </reference>
        </references>
      </pivotArea>
    </chartFormat>
    <chartFormat chart="1" format="3">
      <pivotArea type="data" outline="0" fieldPosition="0">
        <references count="2">
          <reference field="4294967294" count="1" selected="0">
            <x v="0"/>
          </reference>
          <reference field="1" count="1" selected="0">
            <x v="1"/>
          </reference>
        </references>
      </pivotArea>
    </chartFormat>
  </chartFormats>
  <pivotHierarchies count="38">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includeNewItemsInFilter="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Count of Patient Waittime"/>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6BFF6D1-D208-4532-BF38-2966F58DD17C}" name="PivotTable7" cacheId="618" applyNumberFormats="0" applyBorderFormats="0" applyFontFormats="0" applyPatternFormats="0" applyAlignmentFormats="0" applyWidthHeightFormats="1" dataCaption="Values" tag="60a30fb2-6d99-4e72-aeef-fa5ee4da48b6" updatedVersion="7" minRefreshableVersion="3" subtotalHiddenItems="1" itemPrintTitles="1" createdVersion="5" indent="0" outline="1" outlineData="1" multipleFieldFilters="0" chartFormat="17">
  <location ref="A407:B410" firstHeaderRow="1" firstDataRow="1" firstDataCol="1"/>
  <pivotFields count="3">
    <pivotField axis="axisRow" allDrilled="1" subtotalTop="0" showAll="0"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Patient Gender" fld="1" subtotal="count" baseField="0" baseItem="0"/>
  </dataFields>
  <formats count="1">
    <format dxfId="4">
      <pivotArea outline="0" collapsedLevelsAreSubtotals="1" fieldPosition="0"/>
    </format>
  </formats>
  <chartFormats count="6">
    <chartFormat chart="14" format="1" series="1">
      <pivotArea type="data" outline="0" fieldPosition="0">
        <references count="1">
          <reference field="4294967294" count="1" selected="0">
            <x v="0"/>
          </reference>
        </references>
      </pivotArea>
    </chartFormat>
    <chartFormat chart="14" format="2">
      <pivotArea type="data" outline="0" fieldPosition="0">
        <references count="2">
          <reference field="4294967294" count="1" selected="0">
            <x v="0"/>
          </reference>
          <reference field="0" count="1" selected="0">
            <x v="0"/>
          </reference>
        </references>
      </pivotArea>
    </chartFormat>
    <chartFormat chart="14" format="3">
      <pivotArea type="data" outline="0" fieldPosition="0">
        <references count="2">
          <reference field="4294967294" count="1" selected="0">
            <x v="0"/>
          </reference>
          <reference field="0" count="1" selected="0">
            <x v="1"/>
          </reference>
        </references>
      </pivotArea>
    </chartFormat>
    <chartFormat chart="15" format="4" series="1">
      <pivotArea type="data" outline="0" fieldPosition="0">
        <references count="1">
          <reference field="4294967294" count="1" selected="0">
            <x v="0"/>
          </reference>
        </references>
      </pivotArea>
    </chartFormat>
    <chartFormat chart="15" format="5">
      <pivotArea type="data" outline="0" fieldPosition="0">
        <references count="2">
          <reference field="4294967294" count="1" selected="0">
            <x v="0"/>
          </reference>
          <reference field="0" count="1" selected="0">
            <x v="0"/>
          </reference>
        </references>
      </pivotArea>
    </chartFormat>
    <chartFormat chart="15" format="6">
      <pivotArea type="data" outline="0" fieldPosition="0">
        <references count="2">
          <reference field="4294967294" count="1" selected="0">
            <x v="0"/>
          </reference>
          <reference field="0" count="1" selected="0">
            <x v="1"/>
          </reference>
        </references>
      </pivotArea>
    </chartFormat>
  </chartFormats>
  <pivotHierarchies count="37">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includeNewItemsInFilter="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Count of Patient Waittime"/>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C2C5575-8156-45C9-A0C1-00B655C031B6}" name="PivotTable2" cacheId="603" applyNumberFormats="0" applyBorderFormats="0" applyFontFormats="0" applyPatternFormats="0" applyAlignmentFormats="0" applyWidthHeightFormats="1" dataCaption="Values" tag="8f75ab9e-627d-4ee6-9438-6fdcd38874b5" updatedVersion="7" minRefreshableVersion="3" useAutoFormatting="1" subtotalHiddenItems="1" itemPrintTitles="1" createdVersion="5"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7">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57CAD1C-9F64-41ED-BDAF-082F454FB459}" name="PivotTable8" cacheId="621" applyNumberFormats="0" applyBorderFormats="0" applyFontFormats="0" applyPatternFormats="0" applyAlignmentFormats="0" applyWidthHeightFormats="1" dataCaption="Values" tag="60a30fb2-6d99-4e72-aeef-fa5ee4da48b6" updatedVersion="7" minRefreshableVersion="3" useAutoFormatting="1" subtotalHiddenItems="1" itemPrintTitles="1" createdVersion="5" indent="0" outline="1" outlineData="1" multipleFieldFilters="0">
  <location ref="A40:A4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5">
      <pivotArea outline="0" collapsedLevelsAreSubtotals="1" fieldPosition="0"/>
    </format>
  </formats>
  <pivotHierarchies count="37">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Count of Patient Waittime"/>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7B07FCE-3017-4DB6-881E-EB1FB34DA40A}" name="PivotTable1" cacheId="594" applyNumberFormats="0" applyBorderFormats="0" applyFontFormats="0" applyPatternFormats="0" applyAlignmentFormats="0" applyWidthHeightFormats="1" dataCaption="Values" tag="60a30fb2-6d99-4e72-aeef-fa5ee4da48b6" updatedVersion="7" minRefreshableVersion="3" subtotalHiddenItems="1" itemPrintTitles="1" createdVersion="5" indent="0" outline="1" outlineData="1" multipleFieldFilters="0" chartFormat="14">
  <location ref="A400:B403"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Patient attend status" fld="1" subtotal="count" baseField="0" baseItem="0"/>
  </dataFields>
  <formats count="1">
    <format dxfId="6">
      <pivotArea outline="0" collapsedLevelsAreSubtotals="1" fieldPosition="0"/>
    </format>
  </formats>
  <chartFormats count="3">
    <chartFormat chart="12" format="10" series="1">
      <pivotArea type="data" outline="0" fieldPosition="0">
        <references count="1">
          <reference field="4294967294" count="1" selected="0">
            <x v="0"/>
          </reference>
        </references>
      </pivotArea>
    </chartFormat>
    <chartFormat chart="12" format="11">
      <pivotArea type="data" outline="0" fieldPosition="0">
        <references count="2">
          <reference field="4294967294" count="1" selected="0">
            <x v="0"/>
          </reference>
          <reference field="0" count="1" selected="0">
            <x v="0"/>
          </reference>
        </references>
      </pivotArea>
    </chartFormat>
    <chartFormat chart="12" format="12">
      <pivotArea type="data" outline="0" fieldPosition="0">
        <references count="2">
          <reference field="4294967294" count="1" selected="0">
            <x v="0"/>
          </reference>
          <reference field="0" count="1" selected="0">
            <x v="1"/>
          </reference>
        </references>
      </pivotArea>
    </chartFormat>
  </chartFormats>
  <pivotHierarchies count="37">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includeNewItemsInFilter="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Count of Patient Waittime"/>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8C13A0C-583D-4888-9C34-279BF311E379}" name="PivotTable5" cacheId="612" applyNumberFormats="0" applyBorderFormats="0" applyFontFormats="0" applyPatternFormats="0" applyAlignmentFormats="0" applyWidthHeightFormats="1" dataCaption="Values" tag="1a290dbe-037f-4b7a-856b-81fb37a5d274" updatedVersion="7" minRefreshableVersion="3" useAutoFormatting="1" subtotalHiddenItems="1" itemPrintTitles="1" createdVersion="5" indent="0" outline="1" outlineData="1" multipleFieldFilters="0" chartFormat="9">
  <location ref="C3:D370" firstHeaderRow="1" firstDataRow="1" firstDataCol="1"/>
  <pivotFields count="3">
    <pivotField dataField="1" subtotalTop="0" showAll="0" defaultSubtotal="0"/>
    <pivotField axis="axisRow" allDrilled="1" subtotalTop="0" showAll="0" dataSourceSort="1" defaultSubtotal="0" defaultAttributeDrillState="1">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s>
    </pivotField>
    <pivotField allDrilled="1" subtotalTop="0" showAll="0" dataSourceSort="1" defaultSubtotal="0" defaultAttributeDrillState="1"/>
  </pivotFields>
  <rowFields count="1">
    <field x="1"/>
  </rowFields>
  <rowItems count="36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7">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7364AA5-B823-46D7-8C7A-483B81628659}" name="PivotTable3" cacheId="606" applyNumberFormats="0" applyBorderFormats="0" applyFontFormats="0" applyPatternFormats="0" applyAlignmentFormats="0" applyWidthHeightFormats="1" dataCaption="Values" tag="fd117f82-f017-4b2b-9bbd-12afdd589ff4" updatedVersion="7" minRefreshableVersion="3" useAutoFormatting="1" subtotalHiddenItems="1" itemPrintTitles="1" createdVersion="5" indent="0" outline="1" outlineData="1" multipleFieldFilters="0">
  <location ref="A9:A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7">
      <pivotArea outline="0" collapsedLevelsAreSubtotals="1" fieldPosition="0"/>
    </format>
  </formats>
  <pivotHierarchies count="37">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Count of Patient Waittime"/>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6E525DE-6A1A-48B1-A3DE-A6C504563956}" name="PivotTable6" cacheId="615" applyNumberFormats="0" applyBorderFormats="0" applyFontFormats="0" applyPatternFormats="0" applyAlignmentFormats="0" applyWidthHeightFormats="1" dataCaption="Values" tag="1a290dbe-037f-4b7a-856b-81fb37a5d274" updatedVersion="7" minRefreshableVersion="3" useAutoFormatting="1" subtotalHiddenItems="1" itemPrintTitles="1" createdVersion="5" indent="0" outline="1" outlineData="1" multipleFieldFilters="0" chartFormat="10">
  <location ref="F3:G370" firstHeaderRow="1" firstDataRow="1" firstDataCol="1"/>
  <pivotFields count="3">
    <pivotField axis="axisRow" allDrilled="1" subtotalTop="0" showAll="0" dataSourceSort="1" defaultSubtotal="0" defaultAttributeDrillState="1">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s>
    </pivotField>
    <pivotField dataField="1" subtotalTop="0" showAll="0" defaultSubtotal="0"/>
    <pivotField allDrilled="1" subtotalTop="0" showAll="0" dataSourceSort="1" defaultSubtotal="0" defaultAttributeDrillState="1"/>
  </pivotFields>
  <rowFields count="1">
    <field x="0"/>
  </rowFields>
  <rowItems count="36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t="grand">
      <x/>
    </i>
  </rowItems>
  <colItems count="1">
    <i/>
  </colItems>
  <dataFields count="1">
    <dataField name="Average of Patient Waittime" fld="1" subtotal="average" baseField="0" baseItem="0" numFmtId="2"/>
  </dataFields>
  <formats count="1">
    <format dxfId="8">
      <pivotArea outline="0" collapsedLevelsAreSubtotals="1" fieldPosition="0"/>
    </format>
  </formats>
  <pivotHierarchies count="37">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75804AD-0DEE-4666-9461-B737ACA2CA36}" name="PivotTable10" cacheId="597" applyNumberFormats="0" applyBorderFormats="0" applyFontFormats="0" applyPatternFormats="0" applyAlignmentFormats="0" applyWidthHeightFormats="1" dataCaption="Values" tag="60a30fb2-6d99-4e72-aeef-fa5ee4da48b6" updatedVersion="7" minRefreshableVersion="3" subtotalHiddenItems="1" itemPrintTitles="1" createdVersion="5" indent="0" outline="1" outlineData="1" multipleFieldFilters="0" chartFormat="4">
  <location ref="A388:B397" firstHeaderRow="1" firstDataRow="1"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Count of Age Group" fld="1" subtotal="count" baseField="0" baseItem="0"/>
  </dataFields>
  <formats count="1">
    <format dxfId="9">
      <pivotArea outline="0" collapsedLevelsAreSubtotals="1" fieldPosition="0"/>
    </format>
  </formats>
  <chartFormats count="2">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includeNewItemsInFilter="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Count of Patient Waittime"/>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F2DE646-EEF3-4395-A4BD-8D1C59C3F0E5}" name="PivotTable12" cacheId="591" applyNumberFormats="0" applyBorderFormats="0" applyFontFormats="0" applyPatternFormats="0" applyAlignmentFormats="0" applyWidthHeightFormats="1" dataCaption="Values" tag="60a30fb2-6d99-4e72-aeef-fa5ee4da48b6" updatedVersion="7" minRefreshableVersion="3" subtotalHiddenItems="1" itemPrintTitles="1" createdVersion="5" indent="0" outline="1" outlineData="1" multipleFieldFilters="0" chartFormat="20">
  <location ref="A428:A431" firstHeaderRow="1" firstDataRow="1" firstDataCol="1"/>
  <pivotFields count="4">
    <pivotField axis="axisRow" allDrilled="1" subtotalTop="0" showAll="0" dataSourceSort="1" defaultSubtotal="0" defaultAttributeDrillState="1">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2">
        <item x="0" e="0"/>
        <item x="1" e="0"/>
      </items>
    </pivotField>
  </pivotFields>
  <rowFields count="4">
    <field x="3"/>
    <field x="2"/>
    <field x="1"/>
    <field x="0"/>
  </rowFields>
  <rowItems count="3">
    <i>
      <x/>
    </i>
    <i>
      <x v="1"/>
    </i>
    <i t="grand">
      <x/>
    </i>
  </rowItems>
  <formats count="1">
    <format dxfId="10">
      <pivotArea outline="0" collapsedLevelsAreSubtotals="1" fieldPosition="0"/>
    </format>
  </formats>
  <pivotHierarchies count="37">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includeNewItemsInFilter="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Count of Patient Waittime"/>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5EA6AB49-CE10-41F8-BE64-A4D778E19B11}" sourceName="[Calenda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51016337">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B5DFB443-D6D5-4867-8DAC-7BC3B55CB09F}" sourceName="[Calendar_Table].[Date (Month)]">
  <pivotTables>
    <pivotTable tabId="1" name="PivotTable5"/>
    <pivotTable tabId="1" name="PivotTable2"/>
    <pivotTable tabId="1" name="PivotTable3"/>
    <pivotTable tabId="1" name="PivotTable4"/>
    <pivotTable tabId="1" name="PivotTable6"/>
    <pivotTable tabId="1" name="PivotTable8"/>
    <pivotTable tabId="1" name="PivotTable9"/>
    <pivotTable tabId="1" name="PivotTable10"/>
    <pivotTable tabId="1" name="PivotTable1"/>
    <pivotTable tabId="1" name="PivotTable7"/>
    <pivotTable tabId="1" name="PivotTable11"/>
    <pivotTable tabId="1" name="PivotTable12"/>
  </pivotTables>
  <data>
    <olap pivotCacheId="51016337">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Year)" xr10:uid="{46820862-C8A9-4820-859A-5F5FCECA66BE}" cache="Slicer_Date__Year" caption="Year" level="1" style="my style" rowHeight="241300"/>
  <slicer name="Month" xr10:uid="{BEC2FC2E-0940-407D-AC95-07F4ADB9DE14}" cache="Slicer_Date__Month" caption="Month" level="1" style="my styl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4393F-C79F-4621-A2E2-D8AD8A5127CA}">
  <dimension ref="A2:G431"/>
  <sheetViews>
    <sheetView topLeftCell="A365" zoomScale="90" zoomScaleNormal="232" workbookViewId="0">
      <selection activeCell="A4" sqref="A4"/>
    </sheetView>
  </sheetViews>
  <sheetFormatPr defaultRowHeight="14.5" x14ac:dyDescent="0.35"/>
  <cols>
    <col min="1" max="1" width="32.453125" bestFit="1" customWidth="1"/>
    <col min="2" max="2" width="27.81640625" bestFit="1" customWidth="1"/>
    <col min="3" max="3" width="12.90625" bestFit="1" customWidth="1"/>
    <col min="4" max="4" width="24.36328125" bestFit="1" customWidth="1"/>
    <col min="6" max="6" width="12.90625" bestFit="1" customWidth="1"/>
    <col min="7" max="7" width="25.26953125" bestFit="1" customWidth="1"/>
  </cols>
  <sheetData>
    <row r="2" spans="1:7" x14ac:dyDescent="0.35">
      <c r="A2" t="s">
        <v>4</v>
      </c>
      <c r="C2" t="s">
        <v>38</v>
      </c>
      <c r="F2" t="s">
        <v>39</v>
      </c>
    </row>
    <row r="3" spans="1:7" x14ac:dyDescent="0.35">
      <c r="A3" t="s">
        <v>3</v>
      </c>
      <c r="C3" s="1" t="s">
        <v>1</v>
      </c>
      <c r="D3" t="s">
        <v>3</v>
      </c>
      <c r="F3" s="1" t="s">
        <v>1</v>
      </c>
      <c r="G3" t="s">
        <v>5</v>
      </c>
    </row>
    <row r="4" spans="1:7" x14ac:dyDescent="0.35">
      <c r="A4" s="3">
        <v>9216</v>
      </c>
      <c r="C4" s="2" t="s">
        <v>60</v>
      </c>
      <c r="D4" s="3">
        <v>19</v>
      </c>
      <c r="F4" s="2" t="s">
        <v>60</v>
      </c>
      <c r="G4" s="4">
        <v>37.789473684210527</v>
      </c>
    </row>
    <row r="5" spans="1:7" x14ac:dyDescent="0.35">
      <c r="C5" s="2" t="s">
        <v>61</v>
      </c>
      <c r="D5" s="3">
        <v>14</v>
      </c>
      <c r="F5" s="2" t="s">
        <v>61</v>
      </c>
      <c r="G5" s="4">
        <v>38.214285714285715</v>
      </c>
    </row>
    <row r="6" spans="1:7" x14ac:dyDescent="0.35">
      <c r="C6" s="2" t="s">
        <v>62</v>
      </c>
      <c r="D6" s="3">
        <v>13</v>
      </c>
      <c r="F6" s="2" t="s">
        <v>62</v>
      </c>
      <c r="G6" s="4">
        <v>40.92307692307692</v>
      </c>
    </row>
    <row r="7" spans="1:7" x14ac:dyDescent="0.35">
      <c r="C7" s="2" t="s">
        <v>63</v>
      </c>
      <c r="D7" s="3">
        <v>22</v>
      </c>
      <c r="F7" s="2" t="s">
        <v>63</v>
      </c>
      <c r="G7" s="4">
        <v>34.5</v>
      </c>
    </row>
    <row r="8" spans="1:7" x14ac:dyDescent="0.35">
      <c r="C8" s="2" t="s">
        <v>64</v>
      </c>
      <c r="D8" s="3">
        <v>19</v>
      </c>
      <c r="F8" s="2" t="s">
        <v>64</v>
      </c>
      <c r="G8" s="4">
        <v>30.684210526315791</v>
      </c>
    </row>
    <row r="9" spans="1:7" x14ac:dyDescent="0.35">
      <c r="A9" t="s">
        <v>5</v>
      </c>
      <c r="C9" s="2" t="s">
        <v>65</v>
      </c>
      <c r="D9" s="3">
        <v>15</v>
      </c>
      <c r="F9" s="2" t="s">
        <v>65</v>
      </c>
      <c r="G9" s="4">
        <v>37.666666666666664</v>
      </c>
    </row>
    <row r="10" spans="1:7" x14ac:dyDescent="0.35">
      <c r="A10" s="4">
        <v>35.259874131944443</v>
      </c>
      <c r="C10" s="2" t="s">
        <v>66</v>
      </c>
      <c r="D10" s="3">
        <v>12</v>
      </c>
      <c r="F10" s="2" t="s">
        <v>66</v>
      </c>
      <c r="G10" s="4">
        <v>36.083333333333336</v>
      </c>
    </row>
    <row r="11" spans="1:7" x14ac:dyDescent="0.35">
      <c r="C11" s="2" t="s">
        <v>67</v>
      </c>
      <c r="D11" s="3">
        <v>21</v>
      </c>
      <c r="F11" s="2" t="s">
        <v>67</v>
      </c>
      <c r="G11" s="4">
        <v>43.523809523809526</v>
      </c>
    </row>
    <row r="12" spans="1:7" x14ac:dyDescent="0.35">
      <c r="C12" s="2" t="s">
        <v>68</v>
      </c>
      <c r="D12" s="3">
        <v>12</v>
      </c>
      <c r="F12" s="2" t="s">
        <v>68</v>
      </c>
      <c r="G12" s="4">
        <v>29.5</v>
      </c>
    </row>
    <row r="13" spans="1:7" x14ac:dyDescent="0.35">
      <c r="C13" s="2" t="s">
        <v>69</v>
      </c>
      <c r="D13" s="3">
        <v>13</v>
      </c>
      <c r="F13" s="2" t="s">
        <v>69</v>
      </c>
      <c r="G13" s="4">
        <v>38.07692307692308</v>
      </c>
    </row>
    <row r="14" spans="1:7" x14ac:dyDescent="0.35">
      <c r="A14" t="s">
        <v>6</v>
      </c>
      <c r="C14" s="2" t="s">
        <v>70</v>
      </c>
      <c r="D14" s="3">
        <v>13</v>
      </c>
      <c r="F14" s="2" t="s">
        <v>70</v>
      </c>
      <c r="G14" s="4">
        <v>35.846153846153847</v>
      </c>
    </row>
    <row r="15" spans="1:7" x14ac:dyDescent="0.35">
      <c r="A15" s="4">
        <v>4.9920540325784666</v>
      </c>
      <c r="C15" s="2" t="s">
        <v>71</v>
      </c>
      <c r="D15" s="3">
        <v>16</v>
      </c>
      <c r="F15" s="2" t="s">
        <v>71</v>
      </c>
      <c r="G15" s="4">
        <v>32.625</v>
      </c>
    </row>
    <row r="16" spans="1:7" x14ac:dyDescent="0.35">
      <c r="C16" s="2" t="s">
        <v>72</v>
      </c>
      <c r="D16" s="3">
        <v>20</v>
      </c>
      <c r="F16" s="2" t="s">
        <v>72</v>
      </c>
      <c r="G16" s="4">
        <v>39.200000000000003</v>
      </c>
    </row>
    <row r="17" spans="1:7" x14ac:dyDescent="0.35">
      <c r="C17" s="2" t="s">
        <v>73</v>
      </c>
      <c r="D17" s="3">
        <v>25</v>
      </c>
      <c r="F17" s="2" t="s">
        <v>73</v>
      </c>
      <c r="G17" s="4">
        <v>35.28</v>
      </c>
    </row>
    <row r="18" spans="1:7" x14ac:dyDescent="0.35">
      <c r="C18" s="2" t="s">
        <v>74</v>
      </c>
      <c r="D18" s="3">
        <v>20</v>
      </c>
      <c r="F18" s="2" t="s">
        <v>74</v>
      </c>
      <c r="G18" s="4">
        <v>32.549999999999997</v>
      </c>
    </row>
    <row r="19" spans="1:7" x14ac:dyDescent="0.35">
      <c r="C19" s="2" t="s">
        <v>75</v>
      </c>
      <c r="D19" s="3">
        <v>14</v>
      </c>
      <c r="F19" s="2" t="s">
        <v>75</v>
      </c>
      <c r="G19" s="4">
        <v>35.642857142857146</v>
      </c>
    </row>
    <row r="20" spans="1:7" x14ac:dyDescent="0.35">
      <c r="A20" s="5"/>
      <c r="C20" s="2" t="s">
        <v>76</v>
      </c>
      <c r="D20" s="3">
        <v>17</v>
      </c>
      <c r="F20" s="2" t="s">
        <v>76</v>
      </c>
      <c r="G20" s="4">
        <v>38.764705882352942</v>
      </c>
    </row>
    <row r="21" spans="1:7" x14ac:dyDescent="0.35">
      <c r="C21" s="2" t="s">
        <v>77</v>
      </c>
      <c r="D21" s="3">
        <v>20</v>
      </c>
      <c r="F21" s="2" t="s">
        <v>77</v>
      </c>
      <c r="G21" s="4">
        <v>39.9</v>
      </c>
    </row>
    <row r="22" spans="1:7" x14ac:dyDescent="0.35">
      <c r="C22" s="2" t="s">
        <v>78</v>
      </c>
      <c r="D22" s="3">
        <v>10</v>
      </c>
      <c r="F22" s="2" t="s">
        <v>78</v>
      </c>
      <c r="G22" s="4">
        <v>41.6</v>
      </c>
    </row>
    <row r="23" spans="1:7" x14ac:dyDescent="0.35">
      <c r="C23" s="2" t="s">
        <v>79</v>
      </c>
      <c r="D23" s="3">
        <v>17</v>
      </c>
      <c r="F23" s="2" t="s">
        <v>79</v>
      </c>
      <c r="G23" s="4">
        <v>39.470588235294116</v>
      </c>
    </row>
    <row r="24" spans="1:7" x14ac:dyDescent="0.35">
      <c r="C24" s="2" t="s">
        <v>80</v>
      </c>
      <c r="D24" s="3">
        <v>15</v>
      </c>
      <c r="F24" s="2" t="s">
        <v>80</v>
      </c>
      <c r="G24" s="4">
        <v>27.733333333333334</v>
      </c>
    </row>
    <row r="25" spans="1:7" x14ac:dyDescent="0.35">
      <c r="C25" s="2" t="s">
        <v>81</v>
      </c>
      <c r="D25" s="3">
        <v>16</v>
      </c>
      <c r="F25" s="2" t="s">
        <v>81</v>
      </c>
      <c r="G25" s="4">
        <v>36.875</v>
      </c>
    </row>
    <row r="26" spans="1:7" x14ac:dyDescent="0.35">
      <c r="C26" s="2" t="s">
        <v>82</v>
      </c>
      <c r="D26" s="3">
        <v>18</v>
      </c>
      <c r="F26" s="2" t="s">
        <v>82</v>
      </c>
      <c r="G26" s="4">
        <v>40.333333333333336</v>
      </c>
    </row>
    <row r="27" spans="1:7" x14ac:dyDescent="0.35">
      <c r="C27" s="2" t="s">
        <v>83</v>
      </c>
      <c r="D27" s="3">
        <v>16</v>
      </c>
      <c r="F27" s="2" t="s">
        <v>83</v>
      </c>
      <c r="G27" s="4">
        <v>36.5</v>
      </c>
    </row>
    <row r="28" spans="1:7" x14ac:dyDescent="0.35">
      <c r="C28" s="2" t="s">
        <v>84</v>
      </c>
      <c r="D28" s="3">
        <v>15</v>
      </c>
      <c r="F28" s="2" t="s">
        <v>84</v>
      </c>
      <c r="G28" s="4">
        <v>32.866666666666667</v>
      </c>
    </row>
    <row r="29" spans="1:7" x14ac:dyDescent="0.35">
      <c r="C29" s="2" t="s">
        <v>85</v>
      </c>
      <c r="D29" s="3">
        <v>14</v>
      </c>
      <c r="F29" s="2" t="s">
        <v>85</v>
      </c>
      <c r="G29" s="4">
        <v>36.642857142857146</v>
      </c>
    </row>
    <row r="30" spans="1:7" x14ac:dyDescent="0.35">
      <c r="C30" s="2" t="s">
        <v>86</v>
      </c>
      <c r="D30" s="3">
        <v>16</v>
      </c>
      <c r="F30" s="2" t="s">
        <v>86</v>
      </c>
      <c r="G30" s="4">
        <v>36.5625</v>
      </c>
    </row>
    <row r="31" spans="1:7" x14ac:dyDescent="0.35">
      <c r="C31" s="2" t="s">
        <v>87</v>
      </c>
      <c r="D31" s="3">
        <v>20</v>
      </c>
      <c r="F31" s="2" t="s">
        <v>87</v>
      </c>
      <c r="G31" s="4">
        <v>32.15</v>
      </c>
    </row>
    <row r="32" spans="1:7" x14ac:dyDescent="0.35">
      <c r="C32" s="2" t="s">
        <v>88</v>
      </c>
      <c r="D32" s="3">
        <v>19</v>
      </c>
      <c r="F32" s="2" t="s">
        <v>88</v>
      </c>
      <c r="G32" s="4">
        <v>38.368421052631582</v>
      </c>
    </row>
    <row r="33" spans="1:7" x14ac:dyDescent="0.35">
      <c r="C33" s="2" t="s">
        <v>89</v>
      </c>
      <c r="D33" s="3">
        <v>14</v>
      </c>
      <c r="F33" s="2" t="s">
        <v>89</v>
      </c>
      <c r="G33" s="4">
        <v>33.071428571428569</v>
      </c>
    </row>
    <row r="34" spans="1:7" x14ac:dyDescent="0.35">
      <c r="C34" s="2" t="s">
        <v>90</v>
      </c>
      <c r="D34" s="3">
        <v>18</v>
      </c>
      <c r="F34" s="2" t="s">
        <v>90</v>
      </c>
      <c r="G34" s="4">
        <v>36.444444444444443</v>
      </c>
    </row>
    <row r="35" spans="1:7" x14ac:dyDescent="0.35">
      <c r="C35" s="2" t="s">
        <v>91</v>
      </c>
      <c r="D35" s="3">
        <v>13</v>
      </c>
      <c r="F35" s="2" t="s">
        <v>91</v>
      </c>
      <c r="G35" s="4">
        <v>35.692307692307693</v>
      </c>
    </row>
    <row r="36" spans="1:7" x14ac:dyDescent="0.35">
      <c r="C36" s="2" t="s">
        <v>92</v>
      </c>
      <c r="D36" s="3">
        <v>10</v>
      </c>
      <c r="F36" s="2" t="s">
        <v>92</v>
      </c>
      <c r="G36" s="4">
        <v>45.4</v>
      </c>
    </row>
    <row r="37" spans="1:7" x14ac:dyDescent="0.35">
      <c r="C37" s="2" t="s">
        <v>93</v>
      </c>
      <c r="D37" s="3">
        <v>8</v>
      </c>
      <c r="F37" s="2" t="s">
        <v>93</v>
      </c>
      <c r="G37" s="4">
        <v>29.375</v>
      </c>
    </row>
    <row r="38" spans="1:7" x14ac:dyDescent="0.35">
      <c r="C38" s="2" t="s">
        <v>94</v>
      </c>
      <c r="D38" s="3">
        <v>12</v>
      </c>
      <c r="F38" s="2" t="s">
        <v>94</v>
      </c>
      <c r="G38" s="4">
        <v>34.583333333333336</v>
      </c>
    </row>
    <row r="39" spans="1:7" x14ac:dyDescent="0.35">
      <c r="C39" s="2" t="s">
        <v>95</v>
      </c>
      <c r="D39" s="3">
        <v>19</v>
      </c>
      <c r="F39" s="2" t="s">
        <v>95</v>
      </c>
      <c r="G39" s="4">
        <v>38.684210526315788</v>
      </c>
    </row>
    <row r="40" spans="1:7" x14ac:dyDescent="0.35">
      <c r="A40" t="s">
        <v>6</v>
      </c>
      <c r="C40" s="2" t="s">
        <v>96</v>
      </c>
      <c r="D40" s="3">
        <v>9</v>
      </c>
      <c r="F40" s="2" t="s">
        <v>96</v>
      </c>
      <c r="G40" s="4">
        <v>34.777777777777779</v>
      </c>
    </row>
    <row r="41" spans="1:7" x14ac:dyDescent="0.35">
      <c r="A41" s="4">
        <v>4.9920540325784666</v>
      </c>
      <c r="C41" s="2" t="s">
        <v>97</v>
      </c>
      <c r="D41" s="3">
        <v>13</v>
      </c>
      <c r="F41" s="2" t="s">
        <v>97</v>
      </c>
      <c r="G41" s="4">
        <v>37.307692307692307</v>
      </c>
    </row>
    <row r="42" spans="1:7" x14ac:dyDescent="0.35">
      <c r="C42" s="2" t="s">
        <v>98</v>
      </c>
      <c r="D42" s="3">
        <v>19</v>
      </c>
      <c r="F42" s="2" t="s">
        <v>98</v>
      </c>
      <c r="G42" s="4">
        <v>35.631578947368418</v>
      </c>
    </row>
    <row r="43" spans="1:7" x14ac:dyDescent="0.35">
      <c r="C43" s="2" t="s">
        <v>99</v>
      </c>
      <c r="D43" s="3">
        <v>10</v>
      </c>
      <c r="F43" s="2" t="s">
        <v>99</v>
      </c>
      <c r="G43" s="4">
        <v>36.6</v>
      </c>
    </row>
    <row r="44" spans="1:7" x14ac:dyDescent="0.35">
      <c r="C44" s="2" t="s">
        <v>100</v>
      </c>
      <c r="D44" s="3">
        <v>20</v>
      </c>
      <c r="F44" s="2" t="s">
        <v>100</v>
      </c>
      <c r="G44" s="4">
        <v>39.700000000000003</v>
      </c>
    </row>
    <row r="45" spans="1:7" x14ac:dyDescent="0.35">
      <c r="C45" s="2" t="s">
        <v>101</v>
      </c>
      <c r="D45" s="3">
        <v>15</v>
      </c>
      <c r="F45" s="2" t="s">
        <v>101</v>
      </c>
      <c r="G45" s="4">
        <v>37.4</v>
      </c>
    </row>
    <row r="46" spans="1:7" x14ac:dyDescent="0.35">
      <c r="C46" s="2" t="s">
        <v>102</v>
      </c>
      <c r="D46" s="3">
        <v>13</v>
      </c>
      <c r="F46" s="2" t="s">
        <v>102</v>
      </c>
      <c r="G46" s="4">
        <v>27.76923076923077</v>
      </c>
    </row>
    <row r="47" spans="1:7" x14ac:dyDescent="0.35">
      <c r="C47" s="2" t="s">
        <v>103</v>
      </c>
      <c r="D47" s="3">
        <v>9</v>
      </c>
      <c r="F47" s="2" t="s">
        <v>103</v>
      </c>
      <c r="G47" s="4">
        <v>38.777777777777779</v>
      </c>
    </row>
    <row r="48" spans="1:7" x14ac:dyDescent="0.35">
      <c r="C48" s="2" t="s">
        <v>104</v>
      </c>
      <c r="D48" s="3">
        <v>19</v>
      </c>
      <c r="F48" s="2" t="s">
        <v>104</v>
      </c>
      <c r="G48" s="4">
        <v>31</v>
      </c>
    </row>
    <row r="49" spans="3:7" x14ac:dyDescent="0.35">
      <c r="C49" s="2" t="s">
        <v>105</v>
      </c>
      <c r="D49" s="3">
        <v>14</v>
      </c>
      <c r="F49" s="2" t="s">
        <v>105</v>
      </c>
      <c r="G49" s="4">
        <v>35.928571428571431</v>
      </c>
    </row>
    <row r="50" spans="3:7" x14ac:dyDescent="0.35">
      <c r="C50" s="2" t="s">
        <v>106</v>
      </c>
      <c r="D50" s="3">
        <v>17</v>
      </c>
      <c r="F50" s="2" t="s">
        <v>106</v>
      </c>
      <c r="G50" s="4">
        <v>37.882352941176471</v>
      </c>
    </row>
    <row r="51" spans="3:7" x14ac:dyDescent="0.35">
      <c r="C51" s="2" t="s">
        <v>107</v>
      </c>
      <c r="D51" s="3">
        <v>17</v>
      </c>
      <c r="F51" s="2" t="s">
        <v>107</v>
      </c>
      <c r="G51" s="4">
        <v>40.588235294117645</v>
      </c>
    </row>
    <row r="52" spans="3:7" x14ac:dyDescent="0.35">
      <c r="C52" s="2" t="s">
        <v>108</v>
      </c>
      <c r="D52" s="3">
        <v>15</v>
      </c>
      <c r="F52" s="2" t="s">
        <v>108</v>
      </c>
      <c r="G52" s="4">
        <v>34.533333333333331</v>
      </c>
    </row>
    <row r="53" spans="3:7" x14ac:dyDescent="0.35">
      <c r="C53" s="2" t="s">
        <v>109</v>
      </c>
      <c r="D53" s="3">
        <v>9</v>
      </c>
      <c r="F53" s="2" t="s">
        <v>109</v>
      </c>
      <c r="G53" s="4">
        <v>40.333333333333336</v>
      </c>
    </row>
    <row r="54" spans="3:7" x14ac:dyDescent="0.35">
      <c r="C54" s="2" t="s">
        <v>110</v>
      </c>
      <c r="D54" s="3">
        <v>14</v>
      </c>
      <c r="F54" s="2" t="s">
        <v>110</v>
      </c>
      <c r="G54" s="4">
        <v>35.285714285714285</v>
      </c>
    </row>
    <row r="55" spans="3:7" x14ac:dyDescent="0.35">
      <c r="C55" s="2" t="s">
        <v>111</v>
      </c>
      <c r="D55" s="3">
        <v>22</v>
      </c>
      <c r="F55" s="2" t="s">
        <v>111</v>
      </c>
      <c r="G55" s="4">
        <v>35.5</v>
      </c>
    </row>
    <row r="56" spans="3:7" x14ac:dyDescent="0.35">
      <c r="C56" s="2" t="s">
        <v>112</v>
      </c>
      <c r="D56" s="3">
        <v>16</v>
      </c>
      <c r="F56" s="2" t="s">
        <v>112</v>
      </c>
      <c r="G56" s="4">
        <v>38.5625</v>
      </c>
    </row>
    <row r="57" spans="3:7" x14ac:dyDescent="0.35">
      <c r="C57" s="2" t="s">
        <v>113</v>
      </c>
      <c r="D57" s="3">
        <v>22</v>
      </c>
      <c r="F57" s="2" t="s">
        <v>113</v>
      </c>
      <c r="G57" s="4">
        <v>42.727272727272727</v>
      </c>
    </row>
    <row r="58" spans="3:7" x14ac:dyDescent="0.35">
      <c r="C58" s="2" t="s">
        <v>114</v>
      </c>
      <c r="D58" s="3">
        <v>12</v>
      </c>
      <c r="F58" s="2" t="s">
        <v>114</v>
      </c>
      <c r="G58" s="4">
        <v>37.416666666666664</v>
      </c>
    </row>
    <row r="59" spans="3:7" x14ac:dyDescent="0.35">
      <c r="C59" s="2" t="s">
        <v>115</v>
      </c>
      <c r="D59" s="3">
        <v>20</v>
      </c>
      <c r="F59" s="2" t="s">
        <v>115</v>
      </c>
      <c r="G59" s="4">
        <v>32.450000000000003</v>
      </c>
    </row>
    <row r="60" spans="3:7" x14ac:dyDescent="0.35">
      <c r="C60" s="2" t="s">
        <v>116</v>
      </c>
      <c r="D60" s="3">
        <v>18</v>
      </c>
      <c r="F60" s="2" t="s">
        <v>116</v>
      </c>
      <c r="G60" s="4">
        <v>40.055555555555557</v>
      </c>
    </row>
    <row r="61" spans="3:7" x14ac:dyDescent="0.35">
      <c r="C61" s="2" t="s">
        <v>117</v>
      </c>
      <c r="D61" s="3">
        <v>18</v>
      </c>
      <c r="F61" s="2" t="s">
        <v>117</v>
      </c>
      <c r="G61" s="4">
        <v>31.666666666666668</v>
      </c>
    </row>
    <row r="62" spans="3:7" x14ac:dyDescent="0.35">
      <c r="C62" s="2" t="s">
        <v>118</v>
      </c>
      <c r="D62" s="3">
        <v>13</v>
      </c>
      <c r="F62" s="2" t="s">
        <v>118</v>
      </c>
      <c r="G62" s="4">
        <v>39.769230769230766</v>
      </c>
    </row>
    <row r="63" spans="3:7" x14ac:dyDescent="0.35">
      <c r="C63" s="2" t="s">
        <v>119</v>
      </c>
      <c r="D63" s="3">
        <v>15</v>
      </c>
      <c r="F63" s="2" t="s">
        <v>119</v>
      </c>
      <c r="G63" s="4">
        <v>36.733333333333334</v>
      </c>
    </row>
    <row r="64" spans="3:7" x14ac:dyDescent="0.35">
      <c r="C64" s="2" t="s">
        <v>120</v>
      </c>
      <c r="D64" s="3">
        <v>19</v>
      </c>
      <c r="F64" s="2" t="s">
        <v>120</v>
      </c>
      <c r="G64" s="4">
        <v>34.526315789473685</v>
      </c>
    </row>
    <row r="65" spans="3:7" x14ac:dyDescent="0.35">
      <c r="C65" s="2" t="s">
        <v>121</v>
      </c>
      <c r="D65" s="3">
        <v>24</v>
      </c>
      <c r="F65" s="2" t="s">
        <v>121</v>
      </c>
      <c r="G65" s="4">
        <v>33.708333333333336</v>
      </c>
    </row>
    <row r="66" spans="3:7" x14ac:dyDescent="0.35">
      <c r="C66" s="2" t="s">
        <v>122</v>
      </c>
      <c r="D66" s="3">
        <v>24</v>
      </c>
      <c r="F66" s="2" t="s">
        <v>122</v>
      </c>
      <c r="G66" s="4">
        <v>36.291666666666664</v>
      </c>
    </row>
    <row r="67" spans="3:7" x14ac:dyDescent="0.35">
      <c r="C67" s="2" t="s">
        <v>123</v>
      </c>
      <c r="D67" s="3">
        <v>14</v>
      </c>
      <c r="F67" s="2" t="s">
        <v>123</v>
      </c>
      <c r="G67" s="4">
        <v>35.071428571428569</v>
      </c>
    </row>
    <row r="68" spans="3:7" x14ac:dyDescent="0.35">
      <c r="C68" s="2" t="s">
        <v>124</v>
      </c>
      <c r="D68" s="3">
        <v>14</v>
      </c>
      <c r="F68" s="2" t="s">
        <v>124</v>
      </c>
      <c r="G68" s="4">
        <v>31.571428571428573</v>
      </c>
    </row>
    <row r="69" spans="3:7" x14ac:dyDescent="0.35">
      <c r="C69" s="2" t="s">
        <v>125</v>
      </c>
      <c r="D69" s="3">
        <v>16</v>
      </c>
      <c r="F69" s="2" t="s">
        <v>125</v>
      </c>
      <c r="G69" s="4">
        <v>31.8125</v>
      </c>
    </row>
    <row r="70" spans="3:7" x14ac:dyDescent="0.35">
      <c r="C70" s="2" t="s">
        <v>126</v>
      </c>
      <c r="D70" s="3">
        <v>26</v>
      </c>
      <c r="F70" s="2" t="s">
        <v>126</v>
      </c>
      <c r="G70" s="4">
        <v>36.846153846153847</v>
      </c>
    </row>
    <row r="71" spans="3:7" x14ac:dyDescent="0.35">
      <c r="C71" s="2" t="s">
        <v>127</v>
      </c>
      <c r="D71" s="3">
        <v>14</v>
      </c>
      <c r="F71" s="2" t="s">
        <v>127</v>
      </c>
      <c r="G71" s="4">
        <v>34.071428571428569</v>
      </c>
    </row>
    <row r="72" spans="3:7" x14ac:dyDescent="0.35">
      <c r="C72" s="2" t="s">
        <v>128</v>
      </c>
      <c r="D72" s="3">
        <v>22</v>
      </c>
      <c r="F72" s="2" t="s">
        <v>128</v>
      </c>
      <c r="G72" s="4">
        <v>33</v>
      </c>
    </row>
    <row r="73" spans="3:7" x14ac:dyDescent="0.35">
      <c r="C73" s="2" t="s">
        <v>129</v>
      </c>
      <c r="D73" s="3">
        <v>18</v>
      </c>
      <c r="F73" s="2" t="s">
        <v>129</v>
      </c>
      <c r="G73" s="4">
        <v>40.222222222222221</v>
      </c>
    </row>
    <row r="74" spans="3:7" x14ac:dyDescent="0.35">
      <c r="C74" s="2" t="s">
        <v>130</v>
      </c>
      <c r="D74" s="3">
        <v>20</v>
      </c>
      <c r="F74" s="2" t="s">
        <v>130</v>
      </c>
      <c r="G74" s="4">
        <v>42.05</v>
      </c>
    </row>
    <row r="75" spans="3:7" x14ac:dyDescent="0.35">
      <c r="C75" s="2" t="s">
        <v>131</v>
      </c>
      <c r="D75" s="3">
        <v>13</v>
      </c>
      <c r="F75" s="2" t="s">
        <v>131</v>
      </c>
      <c r="G75" s="4">
        <v>42.615384615384613</v>
      </c>
    </row>
    <row r="76" spans="3:7" x14ac:dyDescent="0.35">
      <c r="C76" s="2" t="s">
        <v>132</v>
      </c>
      <c r="D76" s="3">
        <v>13</v>
      </c>
      <c r="F76" s="2" t="s">
        <v>132</v>
      </c>
      <c r="G76" s="4">
        <v>40.46153846153846</v>
      </c>
    </row>
    <row r="77" spans="3:7" x14ac:dyDescent="0.35">
      <c r="C77" s="2" t="s">
        <v>133</v>
      </c>
      <c r="D77" s="3">
        <v>14</v>
      </c>
      <c r="F77" s="2" t="s">
        <v>133</v>
      </c>
      <c r="G77" s="4">
        <v>34.071428571428569</v>
      </c>
    </row>
    <row r="78" spans="3:7" x14ac:dyDescent="0.35">
      <c r="C78" s="2" t="s">
        <v>134</v>
      </c>
      <c r="D78" s="3">
        <v>13</v>
      </c>
      <c r="F78" s="2" t="s">
        <v>134</v>
      </c>
      <c r="G78" s="4">
        <v>33.92307692307692</v>
      </c>
    </row>
    <row r="79" spans="3:7" x14ac:dyDescent="0.35">
      <c r="C79" s="2" t="s">
        <v>135</v>
      </c>
      <c r="D79" s="3">
        <v>18</v>
      </c>
      <c r="F79" s="2" t="s">
        <v>135</v>
      </c>
      <c r="G79" s="4">
        <v>43.166666666666664</v>
      </c>
    </row>
    <row r="80" spans="3:7" x14ac:dyDescent="0.35">
      <c r="C80" s="2" t="s">
        <v>136</v>
      </c>
      <c r="D80" s="3">
        <v>12</v>
      </c>
      <c r="F80" s="2" t="s">
        <v>136</v>
      </c>
      <c r="G80" s="4">
        <v>42.25</v>
      </c>
    </row>
    <row r="81" spans="3:7" x14ac:dyDescent="0.35">
      <c r="C81" s="2" t="s">
        <v>137</v>
      </c>
      <c r="D81" s="3">
        <v>11</v>
      </c>
      <c r="F81" s="2" t="s">
        <v>137</v>
      </c>
      <c r="G81" s="4">
        <v>44.090909090909093</v>
      </c>
    </row>
    <row r="82" spans="3:7" x14ac:dyDescent="0.35">
      <c r="C82" s="2" t="s">
        <v>138</v>
      </c>
      <c r="D82" s="3">
        <v>14</v>
      </c>
      <c r="F82" s="2" t="s">
        <v>138</v>
      </c>
      <c r="G82" s="4">
        <v>39</v>
      </c>
    </row>
    <row r="83" spans="3:7" x14ac:dyDescent="0.35">
      <c r="C83" s="2" t="s">
        <v>139</v>
      </c>
      <c r="D83" s="3">
        <v>12</v>
      </c>
      <c r="F83" s="2" t="s">
        <v>139</v>
      </c>
      <c r="G83" s="4">
        <v>31.25</v>
      </c>
    </row>
    <row r="84" spans="3:7" x14ac:dyDescent="0.35">
      <c r="C84" s="2" t="s">
        <v>140</v>
      </c>
      <c r="D84" s="3">
        <v>16</v>
      </c>
      <c r="F84" s="2" t="s">
        <v>140</v>
      </c>
      <c r="G84" s="4">
        <v>28.5</v>
      </c>
    </row>
    <row r="85" spans="3:7" x14ac:dyDescent="0.35">
      <c r="C85" s="2" t="s">
        <v>141</v>
      </c>
      <c r="D85" s="3">
        <v>16</v>
      </c>
      <c r="F85" s="2" t="s">
        <v>141</v>
      </c>
      <c r="G85" s="4">
        <v>34.0625</v>
      </c>
    </row>
    <row r="86" spans="3:7" x14ac:dyDescent="0.35">
      <c r="C86" s="2" t="s">
        <v>142</v>
      </c>
      <c r="D86" s="3">
        <v>15</v>
      </c>
      <c r="F86" s="2" t="s">
        <v>142</v>
      </c>
      <c r="G86" s="4">
        <v>25.2</v>
      </c>
    </row>
    <row r="87" spans="3:7" x14ac:dyDescent="0.35">
      <c r="C87" s="2" t="s">
        <v>143</v>
      </c>
      <c r="D87" s="3">
        <v>22</v>
      </c>
      <c r="F87" s="2" t="s">
        <v>143</v>
      </c>
      <c r="G87" s="4">
        <v>35.863636363636367</v>
      </c>
    </row>
    <row r="88" spans="3:7" x14ac:dyDescent="0.35">
      <c r="C88" s="2" t="s">
        <v>144</v>
      </c>
      <c r="D88" s="3">
        <v>18</v>
      </c>
      <c r="F88" s="2" t="s">
        <v>144</v>
      </c>
      <c r="G88" s="4">
        <v>39.833333333333336</v>
      </c>
    </row>
    <row r="89" spans="3:7" x14ac:dyDescent="0.35">
      <c r="C89" s="2" t="s">
        <v>145</v>
      </c>
      <c r="D89" s="3">
        <v>10</v>
      </c>
      <c r="F89" s="2" t="s">
        <v>145</v>
      </c>
      <c r="G89" s="4">
        <v>37</v>
      </c>
    </row>
    <row r="90" spans="3:7" x14ac:dyDescent="0.35">
      <c r="C90" s="2" t="s">
        <v>146</v>
      </c>
      <c r="D90" s="3">
        <v>17</v>
      </c>
      <c r="F90" s="2" t="s">
        <v>146</v>
      </c>
      <c r="G90" s="4">
        <v>39.411764705882355</v>
      </c>
    </row>
    <row r="91" spans="3:7" x14ac:dyDescent="0.35">
      <c r="C91" s="2" t="s">
        <v>147</v>
      </c>
      <c r="D91" s="3">
        <v>17</v>
      </c>
      <c r="F91" s="2" t="s">
        <v>147</v>
      </c>
      <c r="G91" s="4">
        <v>30.294117647058822</v>
      </c>
    </row>
    <row r="92" spans="3:7" x14ac:dyDescent="0.35">
      <c r="C92" s="2" t="s">
        <v>148</v>
      </c>
      <c r="D92" s="3">
        <v>12</v>
      </c>
      <c r="F92" s="2" t="s">
        <v>148</v>
      </c>
      <c r="G92" s="4">
        <v>32.666666666666664</v>
      </c>
    </row>
    <row r="93" spans="3:7" x14ac:dyDescent="0.35">
      <c r="C93" s="2" t="s">
        <v>149</v>
      </c>
      <c r="D93" s="3">
        <v>14</v>
      </c>
      <c r="F93" s="2" t="s">
        <v>149</v>
      </c>
      <c r="G93" s="4">
        <v>30.571428571428573</v>
      </c>
    </row>
    <row r="94" spans="3:7" x14ac:dyDescent="0.35">
      <c r="C94" s="2" t="s">
        <v>150</v>
      </c>
      <c r="D94" s="3">
        <v>18</v>
      </c>
      <c r="F94" s="2" t="s">
        <v>150</v>
      </c>
      <c r="G94" s="4">
        <v>39.055555555555557</v>
      </c>
    </row>
    <row r="95" spans="3:7" x14ac:dyDescent="0.35">
      <c r="C95" s="2" t="s">
        <v>308</v>
      </c>
      <c r="D95" s="3">
        <v>31</v>
      </c>
      <c r="F95" s="2" t="s">
        <v>308</v>
      </c>
      <c r="G95" s="4">
        <v>37.12903225806452</v>
      </c>
    </row>
    <row r="96" spans="3:7" x14ac:dyDescent="0.35">
      <c r="C96" s="2" t="s">
        <v>309</v>
      </c>
      <c r="D96" s="3">
        <v>32</v>
      </c>
      <c r="F96" s="2" t="s">
        <v>309</v>
      </c>
      <c r="G96" s="4">
        <v>35.34375</v>
      </c>
    </row>
    <row r="97" spans="3:7" x14ac:dyDescent="0.35">
      <c r="C97" s="2" t="s">
        <v>310</v>
      </c>
      <c r="D97" s="3">
        <v>31</v>
      </c>
      <c r="F97" s="2" t="s">
        <v>310</v>
      </c>
      <c r="G97" s="4">
        <v>33.064516129032256</v>
      </c>
    </row>
    <row r="98" spans="3:7" x14ac:dyDescent="0.35">
      <c r="C98" s="2" t="s">
        <v>311</v>
      </c>
      <c r="D98" s="3">
        <v>29</v>
      </c>
      <c r="F98" s="2" t="s">
        <v>311</v>
      </c>
      <c r="G98" s="4">
        <v>33.482758620689658</v>
      </c>
    </row>
    <row r="99" spans="3:7" x14ac:dyDescent="0.35">
      <c r="C99" s="2" t="s">
        <v>312</v>
      </c>
      <c r="D99" s="3">
        <v>34</v>
      </c>
      <c r="F99" s="2" t="s">
        <v>312</v>
      </c>
      <c r="G99" s="4">
        <v>34</v>
      </c>
    </row>
    <row r="100" spans="3:7" x14ac:dyDescent="0.35">
      <c r="C100" s="2" t="s">
        <v>313</v>
      </c>
      <c r="D100" s="3">
        <v>31</v>
      </c>
      <c r="F100" s="2" t="s">
        <v>313</v>
      </c>
      <c r="G100" s="4">
        <v>34.354838709677416</v>
      </c>
    </row>
    <row r="101" spans="3:7" x14ac:dyDescent="0.35">
      <c r="C101" s="2" t="s">
        <v>314</v>
      </c>
      <c r="D101" s="3">
        <v>27</v>
      </c>
      <c r="F101" s="2" t="s">
        <v>314</v>
      </c>
      <c r="G101" s="4">
        <v>32.666666666666664</v>
      </c>
    </row>
    <row r="102" spans="3:7" x14ac:dyDescent="0.35">
      <c r="C102" s="2" t="s">
        <v>315</v>
      </c>
      <c r="D102" s="3">
        <v>32</v>
      </c>
      <c r="F102" s="2" t="s">
        <v>315</v>
      </c>
      <c r="G102" s="4">
        <v>30.3125</v>
      </c>
    </row>
    <row r="103" spans="3:7" x14ac:dyDescent="0.35">
      <c r="C103" s="2" t="s">
        <v>316</v>
      </c>
      <c r="D103" s="3">
        <v>27</v>
      </c>
      <c r="F103" s="2" t="s">
        <v>316</v>
      </c>
      <c r="G103" s="4">
        <v>33.925925925925924</v>
      </c>
    </row>
    <row r="104" spans="3:7" x14ac:dyDescent="0.35">
      <c r="C104" s="2" t="s">
        <v>317</v>
      </c>
      <c r="D104" s="3">
        <v>27</v>
      </c>
      <c r="F104" s="2" t="s">
        <v>317</v>
      </c>
      <c r="G104" s="4">
        <v>32.037037037037038</v>
      </c>
    </row>
    <row r="105" spans="3:7" x14ac:dyDescent="0.35">
      <c r="C105" s="2" t="s">
        <v>318</v>
      </c>
      <c r="D105" s="3">
        <v>33</v>
      </c>
      <c r="F105" s="2" t="s">
        <v>318</v>
      </c>
      <c r="G105" s="4">
        <v>38.606060606060609</v>
      </c>
    </row>
    <row r="106" spans="3:7" x14ac:dyDescent="0.35">
      <c r="C106" s="2" t="s">
        <v>319</v>
      </c>
      <c r="D106" s="3">
        <v>42</v>
      </c>
      <c r="F106" s="2" t="s">
        <v>319</v>
      </c>
      <c r="G106" s="4">
        <v>36.761904761904759</v>
      </c>
    </row>
    <row r="107" spans="3:7" x14ac:dyDescent="0.35">
      <c r="C107" s="2" t="s">
        <v>320</v>
      </c>
      <c r="D107" s="3">
        <v>25</v>
      </c>
      <c r="F107" s="2" t="s">
        <v>320</v>
      </c>
      <c r="G107" s="4">
        <v>28.52</v>
      </c>
    </row>
    <row r="108" spans="3:7" x14ac:dyDescent="0.35">
      <c r="C108" s="2" t="s">
        <v>321</v>
      </c>
      <c r="D108" s="3">
        <v>34</v>
      </c>
      <c r="F108" s="2" t="s">
        <v>321</v>
      </c>
      <c r="G108" s="4">
        <v>33.882352941176471</v>
      </c>
    </row>
    <row r="109" spans="3:7" x14ac:dyDescent="0.35">
      <c r="C109" s="2" t="s">
        <v>322</v>
      </c>
      <c r="D109" s="3">
        <v>32</v>
      </c>
      <c r="F109" s="2" t="s">
        <v>322</v>
      </c>
      <c r="G109" s="4">
        <v>39.625</v>
      </c>
    </row>
    <row r="110" spans="3:7" x14ac:dyDescent="0.35">
      <c r="C110" s="2" t="s">
        <v>323</v>
      </c>
      <c r="D110" s="3">
        <v>34</v>
      </c>
      <c r="F110" s="2" t="s">
        <v>323</v>
      </c>
      <c r="G110" s="4">
        <v>31.823529411764707</v>
      </c>
    </row>
    <row r="111" spans="3:7" x14ac:dyDescent="0.35">
      <c r="C111" s="2" t="s">
        <v>324</v>
      </c>
      <c r="D111" s="3">
        <v>26</v>
      </c>
      <c r="F111" s="2" t="s">
        <v>324</v>
      </c>
      <c r="G111" s="4">
        <v>37.769230769230766</v>
      </c>
    </row>
    <row r="112" spans="3:7" x14ac:dyDescent="0.35">
      <c r="C112" s="2" t="s">
        <v>325</v>
      </c>
      <c r="D112" s="3">
        <v>36</v>
      </c>
      <c r="F112" s="2" t="s">
        <v>325</v>
      </c>
      <c r="G112" s="4">
        <v>38.055555555555557</v>
      </c>
    </row>
    <row r="113" spans="3:7" x14ac:dyDescent="0.35">
      <c r="C113" s="2" t="s">
        <v>326</v>
      </c>
      <c r="D113" s="3">
        <v>31</v>
      </c>
      <c r="F113" s="2" t="s">
        <v>326</v>
      </c>
      <c r="G113" s="4">
        <v>30.129032258064516</v>
      </c>
    </row>
    <row r="114" spans="3:7" x14ac:dyDescent="0.35">
      <c r="C114" s="2" t="s">
        <v>327</v>
      </c>
      <c r="D114" s="3">
        <v>32</v>
      </c>
      <c r="F114" s="2" t="s">
        <v>327</v>
      </c>
      <c r="G114" s="4">
        <v>35.03125</v>
      </c>
    </row>
    <row r="115" spans="3:7" x14ac:dyDescent="0.35">
      <c r="C115" s="2" t="s">
        <v>328</v>
      </c>
      <c r="D115" s="3">
        <v>33</v>
      </c>
      <c r="F115" s="2" t="s">
        <v>328</v>
      </c>
      <c r="G115" s="4">
        <v>35.303030303030305</v>
      </c>
    </row>
    <row r="116" spans="3:7" x14ac:dyDescent="0.35">
      <c r="C116" s="2" t="s">
        <v>329</v>
      </c>
      <c r="D116" s="3">
        <v>39</v>
      </c>
      <c r="F116" s="2" t="s">
        <v>329</v>
      </c>
      <c r="G116" s="4">
        <v>35.717948717948715</v>
      </c>
    </row>
    <row r="117" spans="3:7" x14ac:dyDescent="0.35">
      <c r="C117" s="2" t="s">
        <v>330</v>
      </c>
      <c r="D117" s="3">
        <v>27</v>
      </c>
      <c r="F117" s="2" t="s">
        <v>330</v>
      </c>
      <c r="G117" s="4">
        <v>41.407407407407405</v>
      </c>
    </row>
    <row r="118" spans="3:7" x14ac:dyDescent="0.35">
      <c r="C118" s="2" t="s">
        <v>331</v>
      </c>
      <c r="D118" s="3">
        <v>32</v>
      </c>
      <c r="F118" s="2" t="s">
        <v>331</v>
      </c>
      <c r="G118" s="4">
        <v>37.28125</v>
      </c>
    </row>
    <row r="119" spans="3:7" x14ac:dyDescent="0.35">
      <c r="C119" s="2" t="s">
        <v>332</v>
      </c>
      <c r="D119" s="3">
        <v>33</v>
      </c>
      <c r="F119" s="2" t="s">
        <v>332</v>
      </c>
      <c r="G119" s="4">
        <v>38.575757575757578</v>
      </c>
    </row>
    <row r="120" spans="3:7" x14ac:dyDescent="0.35">
      <c r="C120" s="2" t="s">
        <v>333</v>
      </c>
      <c r="D120" s="3">
        <v>34</v>
      </c>
      <c r="F120" s="2" t="s">
        <v>333</v>
      </c>
      <c r="G120" s="4">
        <v>33.411764705882355</v>
      </c>
    </row>
    <row r="121" spans="3:7" x14ac:dyDescent="0.35">
      <c r="C121" s="2" t="s">
        <v>334</v>
      </c>
      <c r="D121" s="3">
        <v>35</v>
      </c>
      <c r="F121" s="2" t="s">
        <v>334</v>
      </c>
      <c r="G121" s="4">
        <v>36.6</v>
      </c>
    </row>
    <row r="122" spans="3:7" x14ac:dyDescent="0.35">
      <c r="C122" s="2" t="s">
        <v>335</v>
      </c>
      <c r="D122" s="3">
        <v>32</v>
      </c>
      <c r="F122" s="2" t="s">
        <v>335</v>
      </c>
      <c r="G122" s="4">
        <v>31.875</v>
      </c>
    </row>
    <row r="123" spans="3:7" x14ac:dyDescent="0.35">
      <c r="C123" s="2" t="s">
        <v>336</v>
      </c>
      <c r="D123" s="3">
        <v>27</v>
      </c>
      <c r="F123" s="2" t="s">
        <v>336</v>
      </c>
      <c r="G123" s="4">
        <v>36.925925925925924</v>
      </c>
    </row>
    <row r="124" spans="3:7" x14ac:dyDescent="0.35">
      <c r="C124" s="2" t="s">
        <v>337</v>
      </c>
      <c r="D124" s="3">
        <v>30</v>
      </c>
      <c r="F124" s="2" t="s">
        <v>337</v>
      </c>
      <c r="G124" s="4">
        <v>33.533333333333331</v>
      </c>
    </row>
    <row r="125" spans="3:7" x14ac:dyDescent="0.35">
      <c r="C125" s="2" t="s">
        <v>151</v>
      </c>
      <c r="D125" s="3">
        <v>34</v>
      </c>
      <c r="F125" s="2" t="s">
        <v>151</v>
      </c>
      <c r="G125" s="4">
        <v>33.205882352941174</v>
      </c>
    </row>
    <row r="126" spans="3:7" x14ac:dyDescent="0.35">
      <c r="C126" s="2" t="s">
        <v>152</v>
      </c>
      <c r="D126" s="3">
        <v>37</v>
      </c>
      <c r="F126" s="2" t="s">
        <v>152</v>
      </c>
      <c r="G126" s="4">
        <v>30.135135135135137</v>
      </c>
    </row>
    <row r="127" spans="3:7" x14ac:dyDescent="0.35">
      <c r="C127" s="2" t="s">
        <v>153</v>
      </c>
      <c r="D127" s="3">
        <v>41</v>
      </c>
      <c r="F127" s="2" t="s">
        <v>153</v>
      </c>
      <c r="G127" s="4">
        <v>38.512195121951223</v>
      </c>
    </row>
    <row r="128" spans="3:7" x14ac:dyDescent="0.35">
      <c r="C128" s="2" t="s">
        <v>154</v>
      </c>
      <c r="D128" s="3">
        <v>31</v>
      </c>
      <c r="F128" s="2" t="s">
        <v>154</v>
      </c>
      <c r="G128" s="4">
        <v>34.806451612903224</v>
      </c>
    </row>
    <row r="129" spans="3:7" x14ac:dyDescent="0.35">
      <c r="C129" s="2" t="s">
        <v>155</v>
      </c>
      <c r="D129" s="3">
        <v>29</v>
      </c>
      <c r="F129" s="2" t="s">
        <v>155</v>
      </c>
      <c r="G129" s="4">
        <v>34.517241379310342</v>
      </c>
    </row>
    <row r="130" spans="3:7" x14ac:dyDescent="0.35">
      <c r="C130" s="2" t="s">
        <v>156</v>
      </c>
      <c r="D130" s="3">
        <v>33</v>
      </c>
      <c r="F130" s="2" t="s">
        <v>156</v>
      </c>
      <c r="G130" s="4">
        <v>36.575757575757578</v>
      </c>
    </row>
    <row r="131" spans="3:7" x14ac:dyDescent="0.35">
      <c r="C131" s="2" t="s">
        <v>157</v>
      </c>
      <c r="D131" s="3">
        <v>30</v>
      </c>
      <c r="F131" s="2" t="s">
        <v>157</v>
      </c>
      <c r="G131" s="4">
        <v>35.833333333333336</v>
      </c>
    </row>
    <row r="132" spans="3:7" x14ac:dyDescent="0.35">
      <c r="C132" s="2" t="s">
        <v>158</v>
      </c>
      <c r="D132" s="3">
        <v>37</v>
      </c>
      <c r="F132" s="2" t="s">
        <v>158</v>
      </c>
      <c r="G132" s="4">
        <v>35.567567567567565</v>
      </c>
    </row>
    <row r="133" spans="3:7" x14ac:dyDescent="0.35">
      <c r="C133" s="2" t="s">
        <v>159</v>
      </c>
      <c r="D133" s="3">
        <v>33</v>
      </c>
      <c r="F133" s="2" t="s">
        <v>159</v>
      </c>
      <c r="G133" s="4">
        <v>36.333333333333336</v>
      </c>
    </row>
    <row r="134" spans="3:7" x14ac:dyDescent="0.35">
      <c r="C134" s="2" t="s">
        <v>160</v>
      </c>
      <c r="D134" s="3">
        <v>37</v>
      </c>
      <c r="F134" s="2" t="s">
        <v>160</v>
      </c>
      <c r="G134" s="4">
        <v>31.351351351351351</v>
      </c>
    </row>
    <row r="135" spans="3:7" x14ac:dyDescent="0.35">
      <c r="C135" s="2" t="s">
        <v>161</v>
      </c>
      <c r="D135" s="3">
        <v>31</v>
      </c>
      <c r="F135" s="2" t="s">
        <v>161</v>
      </c>
      <c r="G135" s="4">
        <v>31.64516129032258</v>
      </c>
    </row>
    <row r="136" spans="3:7" x14ac:dyDescent="0.35">
      <c r="C136" s="2" t="s">
        <v>162</v>
      </c>
      <c r="D136" s="3">
        <v>25</v>
      </c>
      <c r="F136" s="2" t="s">
        <v>162</v>
      </c>
      <c r="G136" s="4">
        <v>40.200000000000003</v>
      </c>
    </row>
    <row r="137" spans="3:7" x14ac:dyDescent="0.35">
      <c r="C137" s="2" t="s">
        <v>163</v>
      </c>
      <c r="D137" s="3">
        <v>25</v>
      </c>
      <c r="F137" s="2" t="s">
        <v>163</v>
      </c>
      <c r="G137" s="4">
        <v>38</v>
      </c>
    </row>
    <row r="138" spans="3:7" x14ac:dyDescent="0.35">
      <c r="C138" s="2" t="s">
        <v>164</v>
      </c>
      <c r="D138" s="3">
        <v>25</v>
      </c>
      <c r="F138" s="2" t="s">
        <v>164</v>
      </c>
      <c r="G138" s="4">
        <v>30.56</v>
      </c>
    </row>
    <row r="139" spans="3:7" x14ac:dyDescent="0.35">
      <c r="C139" s="2" t="s">
        <v>165</v>
      </c>
      <c r="D139" s="3">
        <v>23</v>
      </c>
      <c r="F139" s="2" t="s">
        <v>165</v>
      </c>
      <c r="G139" s="4">
        <v>34.565217391304351</v>
      </c>
    </row>
    <row r="140" spans="3:7" x14ac:dyDescent="0.35">
      <c r="C140" s="2" t="s">
        <v>166</v>
      </c>
      <c r="D140" s="3">
        <v>41</v>
      </c>
      <c r="F140" s="2" t="s">
        <v>166</v>
      </c>
      <c r="G140" s="4">
        <v>32.902439024390247</v>
      </c>
    </row>
    <row r="141" spans="3:7" x14ac:dyDescent="0.35">
      <c r="C141" s="2" t="s">
        <v>167</v>
      </c>
      <c r="D141" s="3">
        <v>31</v>
      </c>
      <c r="F141" s="2" t="s">
        <v>167</v>
      </c>
      <c r="G141" s="4">
        <v>33.451612903225808</v>
      </c>
    </row>
    <row r="142" spans="3:7" x14ac:dyDescent="0.35">
      <c r="C142" s="2" t="s">
        <v>168</v>
      </c>
      <c r="D142" s="3">
        <v>34</v>
      </c>
      <c r="F142" s="2" t="s">
        <v>168</v>
      </c>
      <c r="G142" s="4">
        <v>36.117647058823529</v>
      </c>
    </row>
    <row r="143" spans="3:7" x14ac:dyDescent="0.35">
      <c r="C143" s="2" t="s">
        <v>169</v>
      </c>
      <c r="D143" s="3">
        <v>31</v>
      </c>
      <c r="F143" s="2" t="s">
        <v>169</v>
      </c>
      <c r="G143" s="4">
        <v>36.322580645161288</v>
      </c>
    </row>
    <row r="144" spans="3:7" x14ac:dyDescent="0.35">
      <c r="C144" s="2" t="s">
        <v>170</v>
      </c>
      <c r="D144" s="3">
        <v>31</v>
      </c>
      <c r="F144" s="2" t="s">
        <v>170</v>
      </c>
      <c r="G144" s="4">
        <v>32.806451612903224</v>
      </c>
    </row>
    <row r="145" spans="3:7" x14ac:dyDescent="0.35">
      <c r="C145" s="2" t="s">
        <v>171</v>
      </c>
      <c r="D145" s="3">
        <v>44</v>
      </c>
      <c r="F145" s="2" t="s">
        <v>171</v>
      </c>
      <c r="G145" s="4">
        <v>37.704545454545453</v>
      </c>
    </row>
    <row r="146" spans="3:7" x14ac:dyDescent="0.35">
      <c r="C146" s="2" t="s">
        <v>172</v>
      </c>
      <c r="D146" s="3">
        <v>43</v>
      </c>
      <c r="F146" s="2" t="s">
        <v>172</v>
      </c>
      <c r="G146" s="4">
        <v>36.534883720930232</v>
      </c>
    </row>
    <row r="147" spans="3:7" x14ac:dyDescent="0.35">
      <c r="C147" s="2" t="s">
        <v>173</v>
      </c>
      <c r="D147" s="3">
        <v>33</v>
      </c>
      <c r="F147" s="2" t="s">
        <v>173</v>
      </c>
      <c r="G147" s="4">
        <v>35.303030303030305</v>
      </c>
    </row>
    <row r="148" spans="3:7" x14ac:dyDescent="0.35">
      <c r="C148" s="2" t="s">
        <v>174</v>
      </c>
      <c r="D148" s="3">
        <v>28</v>
      </c>
      <c r="F148" s="2" t="s">
        <v>174</v>
      </c>
      <c r="G148" s="4">
        <v>41.535714285714285</v>
      </c>
    </row>
    <row r="149" spans="3:7" x14ac:dyDescent="0.35">
      <c r="C149" s="2" t="s">
        <v>175</v>
      </c>
      <c r="D149" s="3">
        <v>34</v>
      </c>
      <c r="F149" s="2" t="s">
        <v>175</v>
      </c>
      <c r="G149" s="4">
        <v>38.147058823529413</v>
      </c>
    </row>
    <row r="150" spans="3:7" x14ac:dyDescent="0.35">
      <c r="C150" s="2" t="s">
        <v>176</v>
      </c>
      <c r="D150" s="3">
        <v>24</v>
      </c>
      <c r="F150" s="2" t="s">
        <v>176</v>
      </c>
      <c r="G150" s="4">
        <v>37.166666666666664</v>
      </c>
    </row>
    <row r="151" spans="3:7" x14ac:dyDescent="0.35">
      <c r="C151" s="2" t="s">
        <v>177</v>
      </c>
      <c r="D151" s="3">
        <v>27</v>
      </c>
      <c r="F151" s="2" t="s">
        <v>177</v>
      </c>
      <c r="G151" s="4">
        <v>33.629629629629626</v>
      </c>
    </row>
    <row r="152" spans="3:7" x14ac:dyDescent="0.35">
      <c r="C152" s="2" t="s">
        <v>178</v>
      </c>
      <c r="D152" s="3">
        <v>23</v>
      </c>
      <c r="F152" s="2" t="s">
        <v>178</v>
      </c>
      <c r="G152" s="4">
        <v>33.130434782608695</v>
      </c>
    </row>
    <row r="153" spans="3:7" x14ac:dyDescent="0.35">
      <c r="C153" s="2" t="s">
        <v>179</v>
      </c>
      <c r="D153" s="3">
        <v>35</v>
      </c>
      <c r="F153" s="2" t="s">
        <v>179</v>
      </c>
      <c r="G153" s="4">
        <v>36.085714285714289</v>
      </c>
    </row>
    <row r="154" spans="3:7" x14ac:dyDescent="0.35">
      <c r="C154" s="2" t="s">
        <v>180</v>
      </c>
      <c r="D154" s="3">
        <v>39</v>
      </c>
      <c r="F154" s="2" t="s">
        <v>180</v>
      </c>
      <c r="G154" s="4">
        <v>33.512820512820511</v>
      </c>
    </row>
    <row r="155" spans="3:7" x14ac:dyDescent="0.35">
      <c r="C155" s="2" t="s">
        <v>181</v>
      </c>
      <c r="D155" s="3">
        <v>30</v>
      </c>
      <c r="F155" s="2" t="s">
        <v>181</v>
      </c>
      <c r="G155" s="4">
        <v>33.733333333333334</v>
      </c>
    </row>
    <row r="156" spans="3:7" x14ac:dyDescent="0.35">
      <c r="C156" s="2" t="s">
        <v>182</v>
      </c>
      <c r="D156" s="3">
        <v>43</v>
      </c>
      <c r="F156" s="2" t="s">
        <v>182</v>
      </c>
      <c r="G156" s="4">
        <v>34.279069767441861</v>
      </c>
    </row>
    <row r="157" spans="3:7" x14ac:dyDescent="0.35">
      <c r="C157" s="2" t="s">
        <v>183</v>
      </c>
      <c r="D157" s="3">
        <v>27</v>
      </c>
      <c r="F157" s="2" t="s">
        <v>183</v>
      </c>
      <c r="G157" s="4">
        <v>36.222222222222221</v>
      </c>
    </row>
    <row r="158" spans="3:7" x14ac:dyDescent="0.35">
      <c r="C158" s="2" t="s">
        <v>184</v>
      </c>
      <c r="D158" s="3">
        <v>42</v>
      </c>
      <c r="F158" s="2" t="s">
        <v>184</v>
      </c>
      <c r="G158" s="4">
        <v>35.904761904761905</v>
      </c>
    </row>
    <row r="159" spans="3:7" x14ac:dyDescent="0.35">
      <c r="C159" s="2" t="s">
        <v>185</v>
      </c>
      <c r="D159" s="3">
        <v>32</v>
      </c>
      <c r="F159" s="2" t="s">
        <v>185</v>
      </c>
      <c r="G159" s="4">
        <v>32.53125</v>
      </c>
    </row>
    <row r="160" spans="3:7" x14ac:dyDescent="0.35">
      <c r="C160" s="2" t="s">
        <v>186</v>
      </c>
      <c r="D160" s="3">
        <v>32</v>
      </c>
      <c r="F160" s="2" t="s">
        <v>186</v>
      </c>
      <c r="G160" s="4">
        <v>33.84375</v>
      </c>
    </row>
    <row r="161" spans="3:7" x14ac:dyDescent="0.35">
      <c r="C161" s="2" t="s">
        <v>187</v>
      </c>
      <c r="D161" s="3">
        <v>28</v>
      </c>
      <c r="F161" s="2" t="s">
        <v>187</v>
      </c>
      <c r="G161" s="4">
        <v>35.214285714285715</v>
      </c>
    </row>
    <row r="162" spans="3:7" x14ac:dyDescent="0.35">
      <c r="C162" s="2" t="s">
        <v>188</v>
      </c>
      <c r="D162" s="3">
        <v>32</v>
      </c>
      <c r="F162" s="2" t="s">
        <v>188</v>
      </c>
      <c r="G162" s="4">
        <v>37.21875</v>
      </c>
    </row>
    <row r="163" spans="3:7" x14ac:dyDescent="0.35">
      <c r="C163" s="2" t="s">
        <v>189</v>
      </c>
      <c r="D163" s="3">
        <v>39</v>
      </c>
      <c r="F163" s="2" t="s">
        <v>189</v>
      </c>
      <c r="G163" s="4">
        <v>36.871794871794869</v>
      </c>
    </row>
    <row r="164" spans="3:7" x14ac:dyDescent="0.35">
      <c r="C164" s="2" t="s">
        <v>190</v>
      </c>
      <c r="D164" s="3">
        <v>40</v>
      </c>
      <c r="F164" s="2" t="s">
        <v>190</v>
      </c>
      <c r="G164" s="4">
        <v>36.450000000000003</v>
      </c>
    </row>
    <row r="165" spans="3:7" x14ac:dyDescent="0.35">
      <c r="C165" s="2" t="s">
        <v>191</v>
      </c>
      <c r="D165" s="3">
        <v>31</v>
      </c>
      <c r="F165" s="2" t="s">
        <v>191</v>
      </c>
      <c r="G165" s="4">
        <v>32.935483870967744</v>
      </c>
    </row>
    <row r="166" spans="3:7" x14ac:dyDescent="0.35">
      <c r="C166" s="2" t="s">
        <v>192</v>
      </c>
      <c r="D166" s="3">
        <v>34</v>
      </c>
      <c r="F166" s="2" t="s">
        <v>192</v>
      </c>
      <c r="G166" s="4">
        <v>41.323529411764703</v>
      </c>
    </row>
    <row r="167" spans="3:7" x14ac:dyDescent="0.35">
      <c r="C167" s="2" t="s">
        <v>193</v>
      </c>
      <c r="D167" s="3">
        <v>37</v>
      </c>
      <c r="F167" s="2" t="s">
        <v>193</v>
      </c>
      <c r="G167" s="4">
        <v>34.432432432432435</v>
      </c>
    </row>
    <row r="168" spans="3:7" x14ac:dyDescent="0.35">
      <c r="C168" s="2" t="s">
        <v>194</v>
      </c>
      <c r="D168" s="3">
        <v>30</v>
      </c>
      <c r="F168" s="2" t="s">
        <v>194</v>
      </c>
      <c r="G168" s="4">
        <v>36.966666666666669</v>
      </c>
    </row>
    <row r="169" spans="3:7" x14ac:dyDescent="0.35">
      <c r="C169" s="2" t="s">
        <v>195</v>
      </c>
      <c r="D169" s="3">
        <v>25</v>
      </c>
      <c r="F169" s="2" t="s">
        <v>195</v>
      </c>
      <c r="G169" s="4">
        <v>39.520000000000003</v>
      </c>
    </row>
    <row r="170" spans="3:7" x14ac:dyDescent="0.35">
      <c r="C170" s="2" t="s">
        <v>196</v>
      </c>
      <c r="D170" s="3">
        <v>38</v>
      </c>
      <c r="F170" s="2" t="s">
        <v>196</v>
      </c>
      <c r="G170" s="4">
        <v>36.026315789473685</v>
      </c>
    </row>
    <row r="171" spans="3:7" x14ac:dyDescent="0.35">
      <c r="C171" s="2" t="s">
        <v>197</v>
      </c>
      <c r="D171" s="3">
        <v>27</v>
      </c>
      <c r="F171" s="2" t="s">
        <v>197</v>
      </c>
      <c r="G171" s="4">
        <v>32.370370370370374</v>
      </c>
    </row>
    <row r="172" spans="3:7" x14ac:dyDescent="0.35">
      <c r="C172" s="2" t="s">
        <v>198</v>
      </c>
      <c r="D172" s="3">
        <v>37</v>
      </c>
      <c r="F172" s="2" t="s">
        <v>198</v>
      </c>
      <c r="G172" s="4">
        <v>33.243243243243242</v>
      </c>
    </row>
    <row r="173" spans="3:7" x14ac:dyDescent="0.35">
      <c r="C173" s="2" t="s">
        <v>199</v>
      </c>
      <c r="D173" s="3">
        <v>33</v>
      </c>
      <c r="F173" s="2" t="s">
        <v>199</v>
      </c>
      <c r="G173" s="4">
        <v>33.575757575757578</v>
      </c>
    </row>
    <row r="174" spans="3:7" x14ac:dyDescent="0.35">
      <c r="C174" s="2" t="s">
        <v>200</v>
      </c>
      <c r="D174" s="3">
        <v>23</v>
      </c>
      <c r="F174" s="2" t="s">
        <v>200</v>
      </c>
      <c r="G174" s="4">
        <v>31.130434782608695</v>
      </c>
    </row>
    <row r="175" spans="3:7" x14ac:dyDescent="0.35">
      <c r="C175" s="2" t="s">
        <v>201</v>
      </c>
      <c r="D175" s="3">
        <v>27</v>
      </c>
      <c r="F175" s="2" t="s">
        <v>201</v>
      </c>
      <c r="G175" s="4">
        <v>36.888888888888886</v>
      </c>
    </row>
    <row r="176" spans="3:7" x14ac:dyDescent="0.35">
      <c r="C176" s="2" t="s">
        <v>202</v>
      </c>
      <c r="D176" s="3">
        <v>29</v>
      </c>
      <c r="F176" s="2" t="s">
        <v>202</v>
      </c>
      <c r="G176" s="4">
        <v>29.862068965517242</v>
      </c>
    </row>
    <row r="177" spans="3:7" x14ac:dyDescent="0.35">
      <c r="C177" s="2" t="s">
        <v>203</v>
      </c>
      <c r="D177" s="3">
        <v>38</v>
      </c>
      <c r="F177" s="2" t="s">
        <v>203</v>
      </c>
      <c r="G177" s="4">
        <v>36.526315789473685</v>
      </c>
    </row>
    <row r="178" spans="3:7" x14ac:dyDescent="0.35">
      <c r="C178" s="2" t="s">
        <v>204</v>
      </c>
      <c r="D178" s="3">
        <v>28</v>
      </c>
      <c r="F178" s="2" t="s">
        <v>204</v>
      </c>
      <c r="G178" s="4">
        <v>34.571428571428569</v>
      </c>
    </row>
    <row r="179" spans="3:7" x14ac:dyDescent="0.35">
      <c r="C179" s="2" t="s">
        <v>205</v>
      </c>
      <c r="D179" s="3">
        <v>36</v>
      </c>
      <c r="F179" s="2" t="s">
        <v>205</v>
      </c>
      <c r="G179" s="4">
        <v>38.5</v>
      </c>
    </row>
    <row r="180" spans="3:7" x14ac:dyDescent="0.35">
      <c r="C180" s="2" t="s">
        <v>206</v>
      </c>
      <c r="D180" s="3">
        <v>31</v>
      </c>
      <c r="F180" s="2" t="s">
        <v>206</v>
      </c>
      <c r="G180" s="4">
        <v>37.12903225806452</v>
      </c>
    </row>
    <row r="181" spans="3:7" x14ac:dyDescent="0.35">
      <c r="C181" s="2" t="s">
        <v>207</v>
      </c>
      <c r="D181" s="3">
        <v>34</v>
      </c>
      <c r="F181" s="2" t="s">
        <v>207</v>
      </c>
      <c r="G181" s="4">
        <v>33.852941176470587</v>
      </c>
    </row>
    <row r="182" spans="3:7" x14ac:dyDescent="0.35">
      <c r="C182" s="2" t="s">
        <v>208</v>
      </c>
      <c r="D182" s="3">
        <v>39</v>
      </c>
      <c r="F182" s="2" t="s">
        <v>208</v>
      </c>
      <c r="G182" s="4">
        <v>37.230769230769234</v>
      </c>
    </row>
    <row r="183" spans="3:7" x14ac:dyDescent="0.35">
      <c r="C183" s="2" t="s">
        <v>209</v>
      </c>
      <c r="D183" s="3">
        <v>40</v>
      </c>
      <c r="F183" s="2" t="s">
        <v>209</v>
      </c>
      <c r="G183" s="4">
        <v>36.075000000000003</v>
      </c>
    </row>
    <row r="184" spans="3:7" x14ac:dyDescent="0.35">
      <c r="C184" s="2" t="s">
        <v>210</v>
      </c>
      <c r="D184" s="3">
        <v>31</v>
      </c>
      <c r="F184" s="2" t="s">
        <v>210</v>
      </c>
      <c r="G184" s="4">
        <v>34.354838709677416</v>
      </c>
    </row>
    <row r="185" spans="3:7" x14ac:dyDescent="0.35">
      <c r="C185" s="2" t="s">
        <v>211</v>
      </c>
      <c r="D185" s="3">
        <v>28</v>
      </c>
      <c r="F185" s="2" t="s">
        <v>211</v>
      </c>
      <c r="G185" s="4">
        <v>39.571428571428569</v>
      </c>
    </row>
    <row r="186" spans="3:7" x14ac:dyDescent="0.35">
      <c r="C186" s="2" t="s">
        <v>338</v>
      </c>
      <c r="D186" s="3">
        <v>32</v>
      </c>
      <c r="F186" s="2" t="s">
        <v>338</v>
      </c>
      <c r="G186" s="4">
        <v>37.53125</v>
      </c>
    </row>
    <row r="187" spans="3:7" x14ac:dyDescent="0.35">
      <c r="C187" s="2" t="s">
        <v>339</v>
      </c>
      <c r="D187" s="3">
        <v>28</v>
      </c>
      <c r="F187" s="2" t="s">
        <v>339</v>
      </c>
      <c r="G187" s="4">
        <v>31.357142857142858</v>
      </c>
    </row>
    <row r="188" spans="3:7" x14ac:dyDescent="0.35">
      <c r="C188" s="2" t="s">
        <v>340</v>
      </c>
      <c r="D188" s="3">
        <v>28</v>
      </c>
      <c r="F188" s="2" t="s">
        <v>340</v>
      </c>
      <c r="G188" s="4">
        <v>35.285714285714285</v>
      </c>
    </row>
    <row r="189" spans="3:7" x14ac:dyDescent="0.35">
      <c r="C189" s="2" t="s">
        <v>341</v>
      </c>
      <c r="D189" s="3">
        <v>25</v>
      </c>
      <c r="F189" s="2" t="s">
        <v>341</v>
      </c>
      <c r="G189" s="4">
        <v>34</v>
      </c>
    </row>
    <row r="190" spans="3:7" x14ac:dyDescent="0.35">
      <c r="C190" s="2" t="s">
        <v>342</v>
      </c>
      <c r="D190" s="3">
        <v>23</v>
      </c>
      <c r="F190" s="2" t="s">
        <v>342</v>
      </c>
      <c r="G190" s="4">
        <v>28.391304347826086</v>
      </c>
    </row>
    <row r="191" spans="3:7" x14ac:dyDescent="0.35">
      <c r="C191" s="2" t="s">
        <v>343</v>
      </c>
      <c r="D191" s="3">
        <v>22</v>
      </c>
      <c r="F191" s="2" t="s">
        <v>343</v>
      </c>
      <c r="G191" s="4">
        <v>36.545454545454547</v>
      </c>
    </row>
    <row r="192" spans="3:7" x14ac:dyDescent="0.35">
      <c r="C192" s="2" t="s">
        <v>344</v>
      </c>
      <c r="D192" s="3">
        <v>33</v>
      </c>
      <c r="F192" s="2" t="s">
        <v>344</v>
      </c>
      <c r="G192" s="4">
        <v>33.939393939393938</v>
      </c>
    </row>
    <row r="193" spans="3:7" x14ac:dyDescent="0.35">
      <c r="C193" s="2" t="s">
        <v>345</v>
      </c>
      <c r="D193" s="3">
        <v>31</v>
      </c>
      <c r="F193" s="2" t="s">
        <v>345</v>
      </c>
      <c r="G193" s="4">
        <v>38.516129032258064</v>
      </c>
    </row>
    <row r="194" spans="3:7" x14ac:dyDescent="0.35">
      <c r="C194" s="2" t="s">
        <v>346</v>
      </c>
      <c r="D194" s="3">
        <v>35</v>
      </c>
      <c r="F194" s="2" t="s">
        <v>346</v>
      </c>
      <c r="G194" s="4">
        <v>34.74285714285714</v>
      </c>
    </row>
    <row r="195" spans="3:7" x14ac:dyDescent="0.35">
      <c r="C195" s="2" t="s">
        <v>347</v>
      </c>
      <c r="D195" s="3">
        <v>30</v>
      </c>
      <c r="F195" s="2" t="s">
        <v>347</v>
      </c>
      <c r="G195" s="4">
        <v>34.5</v>
      </c>
    </row>
    <row r="196" spans="3:7" x14ac:dyDescent="0.35">
      <c r="C196" s="2" t="s">
        <v>348</v>
      </c>
      <c r="D196" s="3">
        <v>32</v>
      </c>
      <c r="F196" s="2" t="s">
        <v>348</v>
      </c>
      <c r="G196" s="4">
        <v>31.65625</v>
      </c>
    </row>
    <row r="197" spans="3:7" x14ac:dyDescent="0.35">
      <c r="C197" s="2" t="s">
        <v>349</v>
      </c>
      <c r="D197" s="3">
        <v>39</v>
      </c>
      <c r="F197" s="2" t="s">
        <v>349</v>
      </c>
      <c r="G197" s="4">
        <v>37.384615384615387</v>
      </c>
    </row>
    <row r="198" spans="3:7" x14ac:dyDescent="0.35">
      <c r="C198" s="2" t="s">
        <v>350</v>
      </c>
      <c r="D198" s="3">
        <v>39</v>
      </c>
      <c r="F198" s="2" t="s">
        <v>350</v>
      </c>
      <c r="G198" s="4">
        <v>36.205128205128204</v>
      </c>
    </row>
    <row r="199" spans="3:7" x14ac:dyDescent="0.35">
      <c r="C199" s="2" t="s">
        <v>351</v>
      </c>
      <c r="D199" s="3">
        <v>30</v>
      </c>
      <c r="F199" s="2" t="s">
        <v>351</v>
      </c>
      <c r="G199" s="4">
        <v>35.6</v>
      </c>
    </row>
    <row r="200" spans="3:7" x14ac:dyDescent="0.35">
      <c r="C200" s="2" t="s">
        <v>352</v>
      </c>
      <c r="D200" s="3">
        <v>29</v>
      </c>
      <c r="F200" s="2" t="s">
        <v>352</v>
      </c>
      <c r="G200" s="4">
        <v>31.068965517241381</v>
      </c>
    </row>
    <row r="201" spans="3:7" x14ac:dyDescent="0.35">
      <c r="C201" s="2" t="s">
        <v>353</v>
      </c>
      <c r="D201" s="3">
        <v>34</v>
      </c>
      <c r="F201" s="2" t="s">
        <v>353</v>
      </c>
      <c r="G201" s="4">
        <v>33</v>
      </c>
    </row>
    <row r="202" spans="3:7" x14ac:dyDescent="0.35">
      <c r="C202" s="2" t="s">
        <v>354</v>
      </c>
      <c r="D202" s="3">
        <v>30</v>
      </c>
      <c r="F202" s="2" t="s">
        <v>354</v>
      </c>
      <c r="G202" s="4">
        <v>36.233333333333334</v>
      </c>
    </row>
    <row r="203" spans="3:7" x14ac:dyDescent="0.35">
      <c r="C203" s="2" t="s">
        <v>355</v>
      </c>
      <c r="D203" s="3">
        <v>28</v>
      </c>
      <c r="F203" s="2" t="s">
        <v>355</v>
      </c>
      <c r="G203" s="4">
        <v>37.142857142857146</v>
      </c>
    </row>
    <row r="204" spans="3:7" x14ac:dyDescent="0.35">
      <c r="C204" s="2" t="s">
        <v>356</v>
      </c>
      <c r="D204" s="3">
        <v>33</v>
      </c>
      <c r="F204" s="2" t="s">
        <v>356</v>
      </c>
      <c r="G204" s="4">
        <v>34.666666666666664</v>
      </c>
    </row>
    <row r="205" spans="3:7" x14ac:dyDescent="0.35">
      <c r="C205" s="2" t="s">
        <v>357</v>
      </c>
      <c r="D205" s="3">
        <v>30</v>
      </c>
      <c r="F205" s="2" t="s">
        <v>357</v>
      </c>
      <c r="G205" s="4">
        <v>36.033333333333331</v>
      </c>
    </row>
    <row r="206" spans="3:7" x14ac:dyDescent="0.35">
      <c r="C206" s="2" t="s">
        <v>358</v>
      </c>
      <c r="D206" s="3">
        <v>31</v>
      </c>
      <c r="F206" s="2" t="s">
        <v>358</v>
      </c>
      <c r="G206" s="4">
        <v>33.838709677419352</v>
      </c>
    </row>
    <row r="207" spans="3:7" x14ac:dyDescent="0.35">
      <c r="C207" s="2" t="s">
        <v>359</v>
      </c>
      <c r="D207" s="3">
        <v>27</v>
      </c>
      <c r="F207" s="2" t="s">
        <v>359</v>
      </c>
      <c r="G207" s="4">
        <v>34.592592592592595</v>
      </c>
    </row>
    <row r="208" spans="3:7" x14ac:dyDescent="0.35">
      <c r="C208" s="2" t="s">
        <v>360</v>
      </c>
      <c r="D208" s="3">
        <v>32</v>
      </c>
      <c r="F208" s="2" t="s">
        <v>360</v>
      </c>
      <c r="G208" s="4">
        <v>34.4375</v>
      </c>
    </row>
    <row r="209" spans="3:7" x14ac:dyDescent="0.35">
      <c r="C209" s="2" t="s">
        <v>361</v>
      </c>
      <c r="D209" s="3">
        <v>29</v>
      </c>
      <c r="F209" s="2" t="s">
        <v>361</v>
      </c>
      <c r="G209" s="4">
        <v>36.172413793103445</v>
      </c>
    </row>
    <row r="210" spans="3:7" x14ac:dyDescent="0.35">
      <c r="C210" s="2" t="s">
        <v>362</v>
      </c>
      <c r="D210" s="3">
        <v>29</v>
      </c>
      <c r="F210" s="2" t="s">
        <v>362</v>
      </c>
      <c r="G210" s="4">
        <v>34.758620689655174</v>
      </c>
    </row>
    <row r="211" spans="3:7" x14ac:dyDescent="0.35">
      <c r="C211" s="2" t="s">
        <v>363</v>
      </c>
      <c r="D211" s="3">
        <v>29</v>
      </c>
      <c r="F211" s="2" t="s">
        <v>363</v>
      </c>
      <c r="G211" s="4">
        <v>37.241379310344826</v>
      </c>
    </row>
    <row r="212" spans="3:7" x14ac:dyDescent="0.35">
      <c r="C212" s="2" t="s">
        <v>364</v>
      </c>
      <c r="D212" s="3">
        <v>30</v>
      </c>
      <c r="F212" s="2" t="s">
        <v>364</v>
      </c>
      <c r="G212" s="4">
        <v>33.9</v>
      </c>
    </row>
    <row r="213" spans="3:7" x14ac:dyDescent="0.35">
      <c r="C213" s="2" t="s">
        <v>365</v>
      </c>
      <c r="D213" s="3">
        <v>32</v>
      </c>
      <c r="F213" s="2" t="s">
        <v>365</v>
      </c>
      <c r="G213" s="4">
        <v>35.4375</v>
      </c>
    </row>
    <row r="214" spans="3:7" x14ac:dyDescent="0.35">
      <c r="C214" s="2" t="s">
        <v>366</v>
      </c>
      <c r="D214" s="3">
        <v>39</v>
      </c>
      <c r="F214" s="2" t="s">
        <v>366</v>
      </c>
      <c r="G214" s="4">
        <v>36.820512820512818</v>
      </c>
    </row>
    <row r="215" spans="3:7" x14ac:dyDescent="0.35">
      <c r="C215" s="2" t="s">
        <v>367</v>
      </c>
      <c r="D215" s="3">
        <v>32</v>
      </c>
      <c r="F215" s="2" t="s">
        <v>367</v>
      </c>
      <c r="G215" s="4">
        <v>31.3125</v>
      </c>
    </row>
    <row r="216" spans="3:7" x14ac:dyDescent="0.35">
      <c r="C216" s="2" t="s">
        <v>368</v>
      </c>
      <c r="D216" s="3">
        <v>31</v>
      </c>
      <c r="F216" s="2" t="s">
        <v>368</v>
      </c>
      <c r="G216" s="4">
        <v>39.064516129032256</v>
      </c>
    </row>
    <row r="217" spans="3:7" x14ac:dyDescent="0.35">
      <c r="C217" s="2" t="s">
        <v>212</v>
      </c>
      <c r="D217" s="3">
        <v>42</v>
      </c>
      <c r="F217" s="2" t="s">
        <v>212</v>
      </c>
      <c r="G217" s="4">
        <v>35.428571428571431</v>
      </c>
    </row>
    <row r="218" spans="3:7" x14ac:dyDescent="0.35">
      <c r="C218" s="2" t="s">
        <v>213</v>
      </c>
      <c r="D218" s="3">
        <v>34</v>
      </c>
      <c r="F218" s="2" t="s">
        <v>213</v>
      </c>
      <c r="G218" s="4">
        <v>34.794117647058826</v>
      </c>
    </row>
    <row r="219" spans="3:7" x14ac:dyDescent="0.35">
      <c r="C219" s="2" t="s">
        <v>214</v>
      </c>
      <c r="D219" s="3">
        <v>31</v>
      </c>
      <c r="F219" s="2" t="s">
        <v>214</v>
      </c>
      <c r="G219" s="4">
        <v>37.032258064516128</v>
      </c>
    </row>
    <row r="220" spans="3:7" x14ac:dyDescent="0.35">
      <c r="C220" s="2" t="s">
        <v>215</v>
      </c>
      <c r="D220" s="3">
        <v>29</v>
      </c>
      <c r="F220" s="2" t="s">
        <v>215</v>
      </c>
      <c r="G220" s="4">
        <v>39.862068965517238</v>
      </c>
    </row>
    <row r="221" spans="3:7" x14ac:dyDescent="0.35">
      <c r="C221" s="2" t="s">
        <v>216</v>
      </c>
      <c r="D221" s="3">
        <v>42</v>
      </c>
      <c r="F221" s="2" t="s">
        <v>216</v>
      </c>
      <c r="G221" s="4">
        <v>36.166666666666664</v>
      </c>
    </row>
    <row r="222" spans="3:7" x14ac:dyDescent="0.35">
      <c r="C222" s="2" t="s">
        <v>217</v>
      </c>
      <c r="D222" s="3">
        <v>22</v>
      </c>
      <c r="F222" s="2" t="s">
        <v>217</v>
      </c>
      <c r="G222" s="4">
        <v>30.40909090909091</v>
      </c>
    </row>
    <row r="223" spans="3:7" x14ac:dyDescent="0.35">
      <c r="C223" s="2" t="s">
        <v>218</v>
      </c>
      <c r="D223" s="3">
        <v>28</v>
      </c>
      <c r="F223" s="2" t="s">
        <v>218</v>
      </c>
      <c r="G223" s="4">
        <v>40</v>
      </c>
    </row>
    <row r="224" spans="3:7" x14ac:dyDescent="0.35">
      <c r="C224" s="2" t="s">
        <v>219</v>
      </c>
      <c r="D224" s="3">
        <v>31</v>
      </c>
      <c r="F224" s="2" t="s">
        <v>219</v>
      </c>
      <c r="G224" s="4">
        <v>31.677419354838708</v>
      </c>
    </row>
    <row r="225" spans="3:7" x14ac:dyDescent="0.35">
      <c r="C225" s="2" t="s">
        <v>220</v>
      </c>
      <c r="D225" s="3">
        <v>24</v>
      </c>
      <c r="F225" s="2" t="s">
        <v>220</v>
      </c>
      <c r="G225" s="4">
        <v>29.791666666666668</v>
      </c>
    </row>
    <row r="226" spans="3:7" x14ac:dyDescent="0.35">
      <c r="C226" s="2" t="s">
        <v>221</v>
      </c>
      <c r="D226" s="3">
        <v>48</v>
      </c>
      <c r="F226" s="2" t="s">
        <v>221</v>
      </c>
      <c r="G226" s="4">
        <v>36.833333333333336</v>
      </c>
    </row>
    <row r="227" spans="3:7" x14ac:dyDescent="0.35">
      <c r="C227" s="2" t="s">
        <v>222</v>
      </c>
      <c r="D227" s="3">
        <v>32</v>
      </c>
      <c r="F227" s="2" t="s">
        <v>222</v>
      </c>
      <c r="G227" s="4">
        <v>33.96875</v>
      </c>
    </row>
    <row r="228" spans="3:7" x14ac:dyDescent="0.35">
      <c r="C228" s="2" t="s">
        <v>223</v>
      </c>
      <c r="D228" s="3">
        <v>37</v>
      </c>
      <c r="F228" s="2" t="s">
        <v>223</v>
      </c>
      <c r="G228" s="4">
        <v>35.864864864864863</v>
      </c>
    </row>
    <row r="229" spans="3:7" x14ac:dyDescent="0.35">
      <c r="C229" s="2" t="s">
        <v>224</v>
      </c>
      <c r="D229" s="3">
        <v>30</v>
      </c>
      <c r="F229" s="2" t="s">
        <v>224</v>
      </c>
      <c r="G229" s="4">
        <v>37.833333333333336</v>
      </c>
    </row>
    <row r="230" spans="3:7" x14ac:dyDescent="0.35">
      <c r="C230" s="2" t="s">
        <v>225</v>
      </c>
      <c r="D230" s="3">
        <v>27</v>
      </c>
      <c r="F230" s="2" t="s">
        <v>225</v>
      </c>
      <c r="G230" s="4">
        <v>36.296296296296298</v>
      </c>
    </row>
    <row r="231" spans="3:7" x14ac:dyDescent="0.35">
      <c r="C231" s="2" t="s">
        <v>226</v>
      </c>
      <c r="D231" s="3">
        <v>32</v>
      </c>
      <c r="F231" s="2" t="s">
        <v>226</v>
      </c>
      <c r="G231" s="4">
        <v>36.375</v>
      </c>
    </row>
    <row r="232" spans="3:7" x14ac:dyDescent="0.35">
      <c r="C232" s="2" t="s">
        <v>227</v>
      </c>
      <c r="D232" s="3">
        <v>33</v>
      </c>
      <c r="F232" s="2" t="s">
        <v>227</v>
      </c>
      <c r="G232" s="4">
        <v>36</v>
      </c>
    </row>
    <row r="233" spans="3:7" x14ac:dyDescent="0.35">
      <c r="C233" s="2" t="s">
        <v>228</v>
      </c>
      <c r="D233" s="3">
        <v>37</v>
      </c>
      <c r="F233" s="2" t="s">
        <v>228</v>
      </c>
      <c r="G233" s="4">
        <v>37.189189189189186</v>
      </c>
    </row>
    <row r="234" spans="3:7" x14ac:dyDescent="0.35">
      <c r="C234" s="2" t="s">
        <v>229</v>
      </c>
      <c r="D234" s="3">
        <v>33</v>
      </c>
      <c r="F234" s="2" t="s">
        <v>229</v>
      </c>
      <c r="G234" s="4">
        <v>34.666666666666664</v>
      </c>
    </row>
    <row r="235" spans="3:7" x14ac:dyDescent="0.35">
      <c r="C235" s="2" t="s">
        <v>230</v>
      </c>
      <c r="D235" s="3">
        <v>35</v>
      </c>
      <c r="F235" s="2" t="s">
        <v>230</v>
      </c>
      <c r="G235" s="4">
        <v>33</v>
      </c>
    </row>
    <row r="236" spans="3:7" x14ac:dyDescent="0.35">
      <c r="C236" s="2" t="s">
        <v>231</v>
      </c>
      <c r="D236" s="3">
        <v>45</v>
      </c>
      <c r="F236" s="2" t="s">
        <v>231</v>
      </c>
      <c r="G236" s="4">
        <v>39.777777777777779</v>
      </c>
    </row>
    <row r="237" spans="3:7" x14ac:dyDescent="0.35">
      <c r="C237" s="2" t="s">
        <v>232</v>
      </c>
      <c r="D237" s="3">
        <v>26</v>
      </c>
      <c r="F237" s="2" t="s">
        <v>232</v>
      </c>
      <c r="G237" s="4">
        <v>33.57692307692308</v>
      </c>
    </row>
    <row r="238" spans="3:7" x14ac:dyDescent="0.35">
      <c r="C238" s="2" t="s">
        <v>233</v>
      </c>
      <c r="D238" s="3">
        <v>24</v>
      </c>
      <c r="F238" s="2" t="s">
        <v>233</v>
      </c>
      <c r="G238" s="4">
        <v>37.208333333333336</v>
      </c>
    </row>
    <row r="239" spans="3:7" x14ac:dyDescent="0.35">
      <c r="C239" s="2" t="s">
        <v>234</v>
      </c>
      <c r="D239" s="3">
        <v>34</v>
      </c>
      <c r="F239" s="2" t="s">
        <v>234</v>
      </c>
      <c r="G239" s="4">
        <v>36.882352941176471</v>
      </c>
    </row>
    <row r="240" spans="3:7" x14ac:dyDescent="0.35">
      <c r="C240" s="2" t="s">
        <v>235</v>
      </c>
      <c r="D240" s="3">
        <v>31</v>
      </c>
      <c r="F240" s="2" t="s">
        <v>235</v>
      </c>
      <c r="G240" s="4">
        <v>37.612903225806448</v>
      </c>
    </row>
    <row r="241" spans="3:7" x14ac:dyDescent="0.35">
      <c r="C241" s="2" t="s">
        <v>236</v>
      </c>
      <c r="D241" s="3">
        <v>42</v>
      </c>
      <c r="F241" s="2" t="s">
        <v>236</v>
      </c>
      <c r="G241" s="4">
        <v>33.357142857142854</v>
      </c>
    </row>
    <row r="242" spans="3:7" x14ac:dyDescent="0.35">
      <c r="C242" s="2" t="s">
        <v>237</v>
      </c>
      <c r="D242" s="3">
        <v>31</v>
      </c>
      <c r="F242" s="2" t="s">
        <v>237</v>
      </c>
      <c r="G242" s="4">
        <v>33.967741935483872</v>
      </c>
    </row>
    <row r="243" spans="3:7" x14ac:dyDescent="0.35">
      <c r="C243" s="2" t="s">
        <v>238</v>
      </c>
      <c r="D243" s="3">
        <v>34</v>
      </c>
      <c r="F243" s="2" t="s">
        <v>238</v>
      </c>
      <c r="G243" s="4">
        <v>36.5</v>
      </c>
    </row>
    <row r="244" spans="3:7" x14ac:dyDescent="0.35">
      <c r="C244" s="2" t="s">
        <v>239</v>
      </c>
      <c r="D244" s="3">
        <v>38</v>
      </c>
      <c r="F244" s="2" t="s">
        <v>239</v>
      </c>
      <c r="G244" s="4">
        <v>35.55263157894737</v>
      </c>
    </row>
    <row r="245" spans="3:7" x14ac:dyDescent="0.35">
      <c r="C245" s="2" t="s">
        <v>240</v>
      </c>
      <c r="D245" s="3">
        <v>39</v>
      </c>
      <c r="F245" s="2" t="s">
        <v>240</v>
      </c>
      <c r="G245" s="4">
        <v>33.051282051282051</v>
      </c>
    </row>
    <row r="246" spans="3:7" x14ac:dyDescent="0.35">
      <c r="C246" s="2" t="s">
        <v>241</v>
      </c>
      <c r="D246" s="3">
        <v>25</v>
      </c>
      <c r="F246" s="2" t="s">
        <v>241</v>
      </c>
      <c r="G246" s="4">
        <v>36.68</v>
      </c>
    </row>
    <row r="247" spans="3:7" x14ac:dyDescent="0.35">
      <c r="C247" s="2" t="s">
        <v>242</v>
      </c>
      <c r="D247" s="3">
        <v>28</v>
      </c>
      <c r="F247" s="2" t="s">
        <v>242</v>
      </c>
      <c r="G247" s="4">
        <v>37.714285714285715</v>
      </c>
    </row>
    <row r="248" spans="3:7" x14ac:dyDescent="0.35">
      <c r="C248" s="2" t="s">
        <v>243</v>
      </c>
      <c r="D248" s="3">
        <v>35</v>
      </c>
      <c r="F248" s="2" t="s">
        <v>243</v>
      </c>
      <c r="G248" s="4">
        <v>36.057142857142857</v>
      </c>
    </row>
    <row r="249" spans="3:7" x14ac:dyDescent="0.35">
      <c r="C249" s="2" t="s">
        <v>244</v>
      </c>
      <c r="D249" s="3">
        <v>35</v>
      </c>
      <c r="F249" s="2" t="s">
        <v>244</v>
      </c>
      <c r="G249" s="4">
        <v>35.828571428571429</v>
      </c>
    </row>
    <row r="250" spans="3:7" x14ac:dyDescent="0.35">
      <c r="C250" s="2" t="s">
        <v>245</v>
      </c>
      <c r="D250" s="3">
        <v>37</v>
      </c>
      <c r="F250" s="2" t="s">
        <v>245</v>
      </c>
      <c r="G250" s="4">
        <v>35.297297297297298</v>
      </c>
    </row>
    <row r="251" spans="3:7" x14ac:dyDescent="0.35">
      <c r="C251" s="2" t="s">
        <v>246</v>
      </c>
      <c r="D251" s="3">
        <v>31</v>
      </c>
      <c r="F251" s="2" t="s">
        <v>246</v>
      </c>
      <c r="G251" s="4">
        <v>33</v>
      </c>
    </row>
    <row r="252" spans="3:7" x14ac:dyDescent="0.35">
      <c r="C252" s="2" t="s">
        <v>247</v>
      </c>
      <c r="D252" s="3">
        <v>24</v>
      </c>
      <c r="F252" s="2" t="s">
        <v>247</v>
      </c>
      <c r="G252" s="4">
        <v>38.958333333333336</v>
      </c>
    </row>
    <row r="253" spans="3:7" x14ac:dyDescent="0.35">
      <c r="C253" s="2" t="s">
        <v>248</v>
      </c>
      <c r="D253" s="3">
        <v>28</v>
      </c>
      <c r="F253" s="2" t="s">
        <v>248</v>
      </c>
      <c r="G253" s="4">
        <v>37.428571428571431</v>
      </c>
    </row>
    <row r="254" spans="3:7" x14ac:dyDescent="0.35">
      <c r="C254" s="2" t="s">
        <v>249</v>
      </c>
      <c r="D254" s="3">
        <v>29</v>
      </c>
      <c r="F254" s="2" t="s">
        <v>249</v>
      </c>
      <c r="G254" s="4">
        <v>36.068965517241381</v>
      </c>
    </row>
    <row r="255" spans="3:7" x14ac:dyDescent="0.35">
      <c r="C255" s="2" t="s">
        <v>250</v>
      </c>
      <c r="D255" s="3">
        <v>34</v>
      </c>
      <c r="F255" s="2" t="s">
        <v>250</v>
      </c>
      <c r="G255" s="4">
        <v>32.235294117647058</v>
      </c>
    </row>
    <row r="256" spans="3:7" x14ac:dyDescent="0.35">
      <c r="C256" s="2" t="s">
        <v>251</v>
      </c>
      <c r="D256" s="3">
        <v>32</v>
      </c>
      <c r="F256" s="2" t="s">
        <v>251</v>
      </c>
      <c r="G256" s="4">
        <v>37.71875</v>
      </c>
    </row>
    <row r="257" spans="3:7" x14ac:dyDescent="0.35">
      <c r="C257" s="2" t="s">
        <v>252</v>
      </c>
      <c r="D257" s="3">
        <v>29</v>
      </c>
      <c r="F257" s="2" t="s">
        <v>252</v>
      </c>
      <c r="G257" s="4">
        <v>31.275862068965516</v>
      </c>
    </row>
    <row r="258" spans="3:7" x14ac:dyDescent="0.35">
      <c r="C258" s="2" t="s">
        <v>253</v>
      </c>
      <c r="D258" s="3">
        <v>21</v>
      </c>
      <c r="F258" s="2" t="s">
        <v>253</v>
      </c>
      <c r="G258" s="4">
        <v>35.857142857142854</v>
      </c>
    </row>
    <row r="259" spans="3:7" x14ac:dyDescent="0.35">
      <c r="C259" s="2" t="s">
        <v>254</v>
      </c>
      <c r="D259" s="3">
        <v>29</v>
      </c>
      <c r="F259" s="2" t="s">
        <v>254</v>
      </c>
      <c r="G259" s="4">
        <v>33.068965517241381</v>
      </c>
    </row>
    <row r="260" spans="3:7" x14ac:dyDescent="0.35">
      <c r="C260" s="2" t="s">
        <v>255</v>
      </c>
      <c r="D260" s="3">
        <v>24</v>
      </c>
      <c r="F260" s="2" t="s">
        <v>255</v>
      </c>
      <c r="G260" s="4">
        <v>34.708333333333336</v>
      </c>
    </row>
    <row r="261" spans="3:7" x14ac:dyDescent="0.35">
      <c r="C261" s="2" t="s">
        <v>256</v>
      </c>
      <c r="D261" s="3">
        <v>28</v>
      </c>
      <c r="F261" s="2" t="s">
        <v>256</v>
      </c>
      <c r="G261" s="4">
        <v>35.357142857142854</v>
      </c>
    </row>
    <row r="262" spans="3:7" x14ac:dyDescent="0.35">
      <c r="C262" s="2" t="s">
        <v>257</v>
      </c>
      <c r="D262" s="3">
        <v>44</v>
      </c>
      <c r="F262" s="2" t="s">
        <v>257</v>
      </c>
      <c r="G262" s="4">
        <v>37.613636363636367</v>
      </c>
    </row>
    <row r="263" spans="3:7" x14ac:dyDescent="0.35">
      <c r="C263" s="2" t="s">
        <v>258</v>
      </c>
      <c r="D263" s="3">
        <v>35</v>
      </c>
      <c r="F263" s="2" t="s">
        <v>258</v>
      </c>
      <c r="G263" s="4">
        <v>33.514285714285712</v>
      </c>
    </row>
    <row r="264" spans="3:7" x14ac:dyDescent="0.35">
      <c r="C264" s="2" t="s">
        <v>259</v>
      </c>
      <c r="D264" s="3">
        <v>38</v>
      </c>
      <c r="F264" s="2" t="s">
        <v>259</v>
      </c>
      <c r="G264" s="4">
        <v>32.131578947368418</v>
      </c>
    </row>
    <row r="265" spans="3:7" x14ac:dyDescent="0.35">
      <c r="C265" s="2" t="s">
        <v>260</v>
      </c>
      <c r="D265" s="3">
        <v>28</v>
      </c>
      <c r="F265" s="2" t="s">
        <v>260</v>
      </c>
      <c r="G265" s="4">
        <v>37.571428571428569</v>
      </c>
    </row>
    <row r="266" spans="3:7" x14ac:dyDescent="0.35">
      <c r="C266" s="2" t="s">
        <v>261</v>
      </c>
      <c r="D266" s="3">
        <v>34</v>
      </c>
      <c r="F266" s="2" t="s">
        <v>261</v>
      </c>
      <c r="G266" s="4">
        <v>31.911764705882351</v>
      </c>
    </row>
    <row r="267" spans="3:7" x14ac:dyDescent="0.35">
      <c r="C267" s="2" t="s">
        <v>262</v>
      </c>
      <c r="D267" s="3">
        <v>26</v>
      </c>
      <c r="F267" s="2" t="s">
        <v>262</v>
      </c>
      <c r="G267" s="4">
        <v>34.03846153846154</v>
      </c>
    </row>
    <row r="268" spans="3:7" x14ac:dyDescent="0.35">
      <c r="C268" s="2" t="s">
        <v>263</v>
      </c>
      <c r="D268" s="3">
        <v>36</v>
      </c>
      <c r="F268" s="2" t="s">
        <v>263</v>
      </c>
      <c r="G268" s="4">
        <v>33.722222222222221</v>
      </c>
    </row>
    <row r="269" spans="3:7" x14ac:dyDescent="0.35">
      <c r="C269" s="2" t="s">
        <v>264</v>
      </c>
      <c r="D269" s="3">
        <v>32</v>
      </c>
      <c r="F269" s="2" t="s">
        <v>264</v>
      </c>
      <c r="G269" s="4">
        <v>31.5625</v>
      </c>
    </row>
    <row r="270" spans="3:7" x14ac:dyDescent="0.35">
      <c r="C270" s="2" t="s">
        <v>265</v>
      </c>
      <c r="D270" s="3">
        <v>25</v>
      </c>
      <c r="F270" s="2" t="s">
        <v>265</v>
      </c>
      <c r="G270" s="4">
        <v>37.24</v>
      </c>
    </row>
    <row r="271" spans="3:7" x14ac:dyDescent="0.35">
      <c r="C271" s="2" t="s">
        <v>266</v>
      </c>
      <c r="D271" s="3">
        <v>30</v>
      </c>
      <c r="F271" s="2" t="s">
        <v>266</v>
      </c>
      <c r="G271" s="4">
        <v>34.9</v>
      </c>
    </row>
    <row r="272" spans="3:7" x14ac:dyDescent="0.35">
      <c r="C272" s="2" t="s">
        <v>267</v>
      </c>
      <c r="D272" s="3">
        <v>29</v>
      </c>
      <c r="F272" s="2" t="s">
        <v>267</v>
      </c>
      <c r="G272" s="4">
        <v>35.413793103448278</v>
      </c>
    </row>
    <row r="273" spans="3:7" x14ac:dyDescent="0.35">
      <c r="C273" s="2" t="s">
        <v>268</v>
      </c>
      <c r="D273" s="3">
        <v>32</v>
      </c>
      <c r="F273" s="2" t="s">
        <v>268</v>
      </c>
      <c r="G273" s="4">
        <v>33.5625</v>
      </c>
    </row>
    <row r="274" spans="3:7" x14ac:dyDescent="0.35">
      <c r="C274" s="2" t="s">
        <v>269</v>
      </c>
      <c r="D274" s="3">
        <v>29</v>
      </c>
      <c r="F274" s="2" t="s">
        <v>269</v>
      </c>
      <c r="G274" s="4">
        <v>32.586206896551722</v>
      </c>
    </row>
    <row r="275" spans="3:7" x14ac:dyDescent="0.35">
      <c r="C275" s="2" t="s">
        <v>270</v>
      </c>
      <c r="D275" s="3">
        <v>33</v>
      </c>
      <c r="F275" s="2" t="s">
        <v>270</v>
      </c>
      <c r="G275" s="4">
        <v>33.030303030303031</v>
      </c>
    </row>
    <row r="276" spans="3:7" x14ac:dyDescent="0.35">
      <c r="C276" s="2" t="s">
        <v>271</v>
      </c>
      <c r="D276" s="3">
        <v>32</v>
      </c>
      <c r="F276" s="2" t="s">
        <v>271</v>
      </c>
      <c r="G276" s="4">
        <v>33.25</v>
      </c>
    </row>
    <row r="277" spans="3:7" x14ac:dyDescent="0.35">
      <c r="C277" s="2" t="s">
        <v>272</v>
      </c>
      <c r="D277" s="3">
        <v>36</v>
      </c>
      <c r="F277" s="2" t="s">
        <v>272</v>
      </c>
      <c r="G277" s="4">
        <v>36.611111111111114</v>
      </c>
    </row>
    <row r="278" spans="3:7" x14ac:dyDescent="0.35">
      <c r="C278" s="2" t="s">
        <v>273</v>
      </c>
      <c r="D278" s="3">
        <v>35</v>
      </c>
      <c r="F278" s="2" t="s">
        <v>273</v>
      </c>
      <c r="G278" s="4">
        <v>36.971428571428568</v>
      </c>
    </row>
    <row r="279" spans="3:7" x14ac:dyDescent="0.35">
      <c r="C279" s="2" t="s">
        <v>274</v>
      </c>
      <c r="D279" s="3">
        <v>25</v>
      </c>
      <c r="F279" s="2" t="s">
        <v>274</v>
      </c>
      <c r="G279" s="4">
        <v>35.64</v>
      </c>
    </row>
    <row r="280" spans="3:7" x14ac:dyDescent="0.35">
      <c r="C280" s="2" t="s">
        <v>275</v>
      </c>
      <c r="D280" s="3">
        <v>33</v>
      </c>
      <c r="F280" s="2" t="s">
        <v>275</v>
      </c>
      <c r="G280" s="4">
        <v>34.454545454545453</v>
      </c>
    </row>
    <row r="281" spans="3:7" x14ac:dyDescent="0.35">
      <c r="C281" s="2" t="s">
        <v>276</v>
      </c>
      <c r="D281" s="3">
        <v>34</v>
      </c>
      <c r="F281" s="2" t="s">
        <v>276</v>
      </c>
      <c r="G281" s="4">
        <v>37.088235294117645</v>
      </c>
    </row>
    <row r="282" spans="3:7" x14ac:dyDescent="0.35">
      <c r="C282" s="2" t="s">
        <v>277</v>
      </c>
      <c r="D282" s="3">
        <v>30</v>
      </c>
      <c r="F282" s="2" t="s">
        <v>277</v>
      </c>
      <c r="G282" s="4">
        <v>27.933333333333334</v>
      </c>
    </row>
    <row r="283" spans="3:7" x14ac:dyDescent="0.35">
      <c r="C283" s="2" t="s">
        <v>278</v>
      </c>
      <c r="D283" s="3">
        <v>26</v>
      </c>
      <c r="F283" s="2" t="s">
        <v>278</v>
      </c>
      <c r="G283" s="4">
        <v>33.884615384615387</v>
      </c>
    </row>
    <row r="284" spans="3:7" x14ac:dyDescent="0.35">
      <c r="C284" s="2" t="s">
        <v>279</v>
      </c>
      <c r="D284" s="3">
        <v>29</v>
      </c>
      <c r="F284" s="2" t="s">
        <v>279</v>
      </c>
      <c r="G284" s="4">
        <v>33.827586206896555</v>
      </c>
    </row>
    <row r="285" spans="3:7" x14ac:dyDescent="0.35">
      <c r="C285" s="2" t="s">
        <v>280</v>
      </c>
      <c r="D285" s="3">
        <v>26</v>
      </c>
      <c r="F285" s="2" t="s">
        <v>280</v>
      </c>
      <c r="G285" s="4">
        <v>31.576923076923077</v>
      </c>
    </row>
    <row r="286" spans="3:7" x14ac:dyDescent="0.35">
      <c r="C286" s="2" t="s">
        <v>281</v>
      </c>
      <c r="D286" s="3">
        <v>37</v>
      </c>
      <c r="F286" s="2" t="s">
        <v>281</v>
      </c>
      <c r="G286" s="4">
        <v>33.270270270270274</v>
      </c>
    </row>
    <row r="287" spans="3:7" x14ac:dyDescent="0.35">
      <c r="C287" s="2" t="s">
        <v>282</v>
      </c>
      <c r="D287" s="3">
        <v>22</v>
      </c>
      <c r="F287" s="2" t="s">
        <v>282</v>
      </c>
      <c r="G287" s="4">
        <v>36.5</v>
      </c>
    </row>
    <row r="288" spans="3:7" x14ac:dyDescent="0.35">
      <c r="C288" s="2" t="s">
        <v>283</v>
      </c>
      <c r="D288" s="3">
        <v>43</v>
      </c>
      <c r="F288" s="2" t="s">
        <v>283</v>
      </c>
      <c r="G288" s="4">
        <v>34.093023255813954</v>
      </c>
    </row>
    <row r="289" spans="3:7" x14ac:dyDescent="0.35">
      <c r="C289" s="2" t="s">
        <v>284</v>
      </c>
      <c r="D289" s="3">
        <v>37</v>
      </c>
      <c r="F289" s="2" t="s">
        <v>284</v>
      </c>
      <c r="G289" s="4">
        <v>39.216216216216218</v>
      </c>
    </row>
    <row r="290" spans="3:7" x14ac:dyDescent="0.35">
      <c r="C290" s="2" t="s">
        <v>285</v>
      </c>
      <c r="D290" s="3">
        <v>34</v>
      </c>
      <c r="F290" s="2" t="s">
        <v>285</v>
      </c>
      <c r="G290" s="4">
        <v>35.676470588235297</v>
      </c>
    </row>
    <row r="291" spans="3:7" x14ac:dyDescent="0.35">
      <c r="C291" s="2" t="s">
        <v>286</v>
      </c>
      <c r="D291" s="3">
        <v>31</v>
      </c>
      <c r="F291" s="2" t="s">
        <v>286</v>
      </c>
      <c r="G291" s="4">
        <v>34.354838709677416</v>
      </c>
    </row>
    <row r="292" spans="3:7" x14ac:dyDescent="0.35">
      <c r="C292" s="2" t="s">
        <v>287</v>
      </c>
      <c r="D292" s="3">
        <v>25</v>
      </c>
      <c r="F292" s="2" t="s">
        <v>287</v>
      </c>
      <c r="G292" s="4">
        <v>38.56</v>
      </c>
    </row>
    <row r="293" spans="3:7" x14ac:dyDescent="0.35">
      <c r="C293" s="2" t="s">
        <v>288</v>
      </c>
      <c r="D293" s="3">
        <v>26</v>
      </c>
      <c r="F293" s="2" t="s">
        <v>288</v>
      </c>
      <c r="G293" s="4">
        <v>28.76923076923077</v>
      </c>
    </row>
    <row r="294" spans="3:7" x14ac:dyDescent="0.35">
      <c r="C294" s="2" t="s">
        <v>289</v>
      </c>
      <c r="D294" s="3">
        <v>28</v>
      </c>
      <c r="F294" s="2" t="s">
        <v>289</v>
      </c>
      <c r="G294" s="4">
        <v>33.571428571428569</v>
      </c>
    </row>
    <row r="295" spans="3:7" x14ac:dyDescent="0.35">
      <c r="C295" s="2" t="s">
        <v>290</v>
      </c>
      <c r="D295" s="3">
        <v>43</v>
      </c>
      <c r="F295" s="2" t="s">
        <v>290</v>
      </c>
      <c r="G295" s="4">
        <v>33.534883720930232</v>
      </c>
    </row>
    <row r="296" spans="3:7" x14ac:dyDescent="0.35">
      <c r="C296" s="2" t="s">
        <v>291</v>
      </c>
      <c r="D296" s="3">
        <v>33</v>
      </c>
      <c r="F296" s="2" t="s">
        <v>291</v>
      </c>
      <c r="G296" s="4">
        <v>39.515151515151516</v>
      </c>
    </row>
    <row r="297" spans="3:7" x14ac:dyDescent="0.35">
      <c r="C297" s="2" t="s">
        <v>292</v>
      </c>
      <c r="D297" s="3">
        <v>42</v>
      </c>
      <c r="F297" s="2" t="s">
        <v>292</v>
      </c>
      <c r="G297" s="4">
        <v>32.714285714285715</v>
      </c>
    </row>
    <row r="298" spans="3:7" x14ac:dyDescent="0.35">
      <c r="C298" s="2" t="s">
        <v>293</v>
      </c>
      <c r="D298" s="3">
        <v>35</v>
      </c>
      <c r="F298" s="2" t="s">
        <v>293</v>
      </c>
      <c r="G298" s="4">
        <v>30.62857142857143</v>
      </c>
    </row>
    <row r="299" spans="3:7" x14ac:dyDescent="0.35">
      <c r="C299" s="2" t="s">
        <v>294</v>
      </c>
      <c r="D299" s="3">
        <v>35</v>
      </c>
      <c r="F299" s="2" t="s">
        <v>294</v>
      </c>
      <c r="G299" s="4">
        <v>36.914285714285711</v>
      </c>
    </row>
    <row r="300" spans="3:7" x14ac:dyDescent="0.35">
      <c r="C300" s="2" t="s">
        <v>295</v>
      </c>
      <c r="D300" s="3">
        <v>31</v>
      </c>
      <c r="F300" s="2" t="s">
        <v>295</v>
      </c>
      <c r="G300" s="4">
        <v>41.064516129032256</v>
      </c>
    </row>
    <row r="301" spans="3:7" x14ac:dyDescent="0.35">
      <c r="C301" s="2" t="s">
        <v>296</v>
      </c>
      <c r="D301" s="3">
        <v>31</v>
      </c>
      <c r="F301" s="2" t="s">
        <v>296</v>
      </c>
      <c r="G301" s="4">
        <v>32.58064516129032</v>
      </c>
    </row>
    <row r="302" spans="3:7" x14ac:dyDescent="0.35">
      <c r="C302" s="2" t="s">
        <v>297</v>
      </c>
      <c r="D302" s="3">
        <v>33</v>
      </c>
      <c r="F302" s="2" t="s">
        <v>297</v>
      </c>
      <c r="G302" s="4">
        <v>31.393939393939394</v>
      </c>
    </row>
    <row r="303" spans="3:7" x14ac:dyDescent="0.35">
      <c r="C303" s="2" t="s">
        <v>298</v>
      </c>
      <c r="D303" s="3">
        <v>33</v>
      </c>
      <c r="F303" s="2" t="s">
        <v>298</v>
      </c>
      <c r="G303" s="4">
        <v>29.363636363636363</v>
      </c>
    </row>
    <row r="304" spans="3:7" x14ac:dyDescent="0.35">
      <c r="C304" s="2" t="s">
        <v>299</v>
      </c>
      <c r="D304" s="3">
        <v>20</v>
      </c>
      <c r="F304" s="2" t="s">
        <v>299</v>
      </c>
      <c r="G304" s="4">
        <v>35.4</v>
      </c>
    </row>
    <row r="305" spans="3:7" x14ac:dyDescent="0.35">
      <c r="C305" s="2" t="s">
        <v>300</v>
      </c>
      <c r="D305" s="3">
        <v>29</v>
      </c>
      <c r="F305" s="2" t="s">
        <v>300</v>
      </c>
      <c r="G305" s="4">
        <v>35.655172413793103</v>
      </c>
    </row>
    <row r="306" spans="3:7" x14ac:dyDescent="0.35">
      <c r="C306" s="2" t="s">
        <v>301</v>
      </c>
      <c r="D306" s="3">
        <v>27</v>
      </c>
      <c r="F306" s="2" t="s">
        <v>301</v>
      </c>
      <c r="G306" s="4">
        <v>40.481481481481481</v>
      </c>
    </row>
    <row r="307" spans="3:7" x14ac:dyDescent="0.35">
      <c r="C307" s="2" t="s">
        <v>302</v>
      </c>
      <c r="D307" s="3">
        <v>31</v>
      </c>
      <c r="F307" s="2" t="s">
        <v>302</v>
      </c>
      <c r="G307" s="4">
        <v>31.193548387096776</v>
      </c>
    </row>
    <row r="308" spans="3:7" x14ac:dyDescent="0.35">
      <c r="C308" s="2" t="s">
        <v>303</v>
      </c>
      <c r="D308" s="3">
        <v>20</v>
      </c>
      <c r="F308" s="2" t="s">
        <v>303</v>
      </c>
      <c r="G308" s="4">
        <v>35.049999999999997</v>
      </c>
    </row>
    <row r="309" spans="3:7" x14ac:dyDescent="0.35">
      <c r="C309" s="2" t="s">
        <v>369</v>
      </c>
      <c r="D309" s="3">
        <v>17</v>
      </c>
      <c r="F309" s="2" t="s">
        <v>369</v>
      </c>
      <c r="G309" s="4">
        <v>35.117647058823529</v>
      </c>
    </row>
    <row r="310" spans="3:7" x14ac:dyDescent="0.35">
      <c r="C310" s="2" t="s">
        <v>370</v>
      </c>
      <c r="D310" s="3">
        <v>12</v>
      </c>
      <c r="F310" s="2" t="s">
        <v>370</v>
      </c>
      <c r="G310" s="4">
        <v>28.916666666666668</v>
      </c>
    </row>
    <row r="311" spans="3:7" x14ac:dyDescent="0.35">
      <c r="C311" s="2" t="s">
        <v>371</v>
      </c>
      <c r="D311" s="3">
        <v>14</v>
      </c>
      <c r="F311" s="2" t="s">
        <v>371</v>
      </c>
      <c r="G311" s="4">
        <v>34.357142857142854</v>
      </c>
    </row>
    <row r="312" spans="3:7" x14ac:dyDescent="0.35">
      <c r="C312" s="2" t="s">
        <v>372</v>
      </c>
      <c r="D312" s="3">
        <v>17</v>
      </c>
      <c r="F312" s="2" t="s">
        <v>372</v>
      </c>
      <c r="G312" s="4">
        <v>29.705882352941178</v>
      </c>
    </row>
    <row r="313" spans="3:7" x14ac:dyDescent="0.35">
      <c r="C313" s="2" t="s">
        <v>373</v>
      </c>
      <c r="D313" s="3">
        <v>17</v>
      </c>
      <c r="F313" s="2" t="s">
        <v>373</v>
      </c>
      <c r="G313" s="4">
        <v>33.176470588235297</v>
      </c>
    </row>
    <row r="314" spans="3:7" x14ac:dyDescent="0.35">
      <c r="C314" s="2" t="s">
        <v>374</v>
      </c>
      <c r="D314" s="3">
        <v>16</v>
      </c>
      <c r="F314" s="2" t="s">
        <v>374</v>
      </c>
      <c r="G314" s="4">
        <v>39.8125</v>
      </c>
    </row>
    <row r="315" spans="3:7" x14ac:dyDescent="0.35">
      <c r="C315" s="2" t="s">
        <v>375</v>
      </c>
      <c r="D315" s="3">
        <v>19</v>
      </c>
      <c r="F315" s="2" t="s">
        <v>375</v>
      </c>
      <c r="G315" s="4">
        <v>36.578947368421055</v>
      </c>
    </row>
    <row r="316" spans="3:7" x14ac:dyDescent="0.35">
      <c r="C316" s="2" t="s">
        <v>376</v>
      </c>
      <c r="D316" s="3">
        <v>14</v>
      </c>
      <c r="F316" s="2" t="s">
        <v>376</v>
      </c>
      <c r="G316" s="4">
        <v>34.5</v>
      </c>
    </row>
    <row r="317" spans="3:7" x14ac:dyDescent="0.35">
      <c r="C317" s="2" t="s">
        <v>377</v>
      </c>
      <c r="D317" s="3">
        <v>17</v>
      </c>
      <c r="F317" s="2" t="s">
        <v>377</v>
      </c>
      <c r="G317" s="4">
        <v>39.764705882352942</v>
      </c>
    </row>
    <row r="318" spans="3:7" x14ac:dyDescent="0.35">
      <c r="C318" s="2" t="s">
        <v>378</v>
      </c>
      <c r="D318" s="3">
        <v>13</v>
      </c>
      <c r="F318" s="2" t="s">
        <v>378</v>
      </c>
      <c r="G318" s="4">
        <v>35.230769230769234</v>
      </c>
    </row>
    <row r="319" spans="3:7" x14ac:dyDescent="0.35">
      <c r="C319" s="2" t="s">
        <v>379</v>
      </c>
      <c r="D319" s="3">
        <v>12</v>
      </c>
      <c r="F319" s="2" t="s">
        <v>379</v>
      </c>
      <c r="G319" s="4">
        <v>41.5</v>
      </c>
    </row>
    <row r="320" spans="3:7" x14ac:dyDescent="0.35">
      <c r="C320" s="2" t="s">
        <v>380</v>
      </c>
      <c r="D320" s="3">
        <v>16</v>
      </c>
      <c r="F320" s="2" t="s">
        <v>380</v>
      </c>
      <c r="G320" s="4">
        <v>38.0625</v>
      </c>
    </row>
    <row r="321" spans="3:7" x14ac:dyDescent="0.35">
      <c r="C321" s="2" t="s">
        <v>381</v>
      </c>
      <c r="D321" s="3">
        <v>9</v>
      </c>
      <c r="F321" s="2" t="s">
        <v>381</v>
      </c>
      <c r="G321" s="4">
        <v>29.222222222222221</v>
      </c>
    </row>
    <row r="322" spans="3:7" x14ac:dyDescent="0.35">
      <c r="C322" s="2" t="s">
        <v>382</v>
      </c>
      <c r="D322" s="3">
        <v>17</v>
      </c>
      <c r="F322" s="2" t="s">
        <v>382</v>
      </c>
      <c r="G322" s="4">
        <v>31</v>
      </c>
    </row>
    <row r="323" spans="3:7" x14ac:dyDescent="0.35">
      <c r="C323" s="2" t="s">
        <v>383</v>
      </c>
      <c r="D323" s="3">
        <v>16</v>
      </c>
      <c r="F323" s="2" t="s">
        <v>383</v>
      </c>
      <c r="G323" s="4">
        <v>37.3125</v>
      </c>
    </row>
    <row r="324" spans="3:7" x14ac:dyDescent="0.35">
      <c r="C324" s="2" t="s">
        <v>384</v>
      </c>
      <c r="D324" s="3">
        <v>17</v>
      </c>
      <c r="F324" s="2" t="s">
        <v>384</v>
      </c>
      <c r="G324" s="4">
        <v>35.647058823529413</v>
      </c>
    </row>
    <row r="325" spans="3:7" x14ac:dyDescent="0.35">
      <c r="C325" s="2" t="s">
        <v>385</v>
      </c>
      <c r="D325" s="3">
        <v>21</v>
      </c>
      <c r="F325" s="2" t="s">
        <v>385</v>
      </c>
      <c r="G325" s="4">
        <v>36.476190476190474</v>
      </c>
    </row>
    <row r="326" spans="3:7" x14ac:dyDescent="0.35">
      <c r="C326" s="2" t="s">
        <v>386</v>
      </c>
      <c r="D326" s="3">
        <v>15</v>
      </c>
      <c r="F326" s="2" t="s">
        <v>386</v>
      </c>
      <c r="G326" s="4">
        <v>40.799999999999997</v>
      </c>
    </row>
    <row r="327" spans="3:7" x14ac:dyDescent="0.35">
      <c r="C327" s="2" t="s">
        <v>387</v>
      </c>
      <c r="D327" s="3">
        <v>22</v>
      </c>
      <c r="F327" s="2" t="s">
        <v>387</v>
      </c>
      <c r="G327" s="4">
        <v>30.318181818181817</v>
      </c>
    </row>
    <row r="328" spans="3:7" x14ac:dyDescent="0.35">
      <c r="C328" s="2" t="s">
        <v>388</v>
      </c>
      <c r="D328" s="3">
        <v>14</v>
      </c>
      <c r="F328" s="2" t="s">
        <v>388</v>
      </c>
      <c r="G328" s="4">
        <v>35.714285714285715</v>
      </c>
    </row>
    <row r="329" spans="3:7" x14ac:dyDescent="0.35">
      <c r="C329" s="2" t="s">
        <v>389</v>
      </c>
      <c r="D329" s="3">
        <v>13</v>
      </c>
      <c r="F329" s="2" t="s">
        <v>389</v>
      </c>
      <c r="G329" s="4">
        <v>33.53846153846154</v>
      </c>
    </row>
    <row r="330" spans="3:7" x14ac:dyDescent="0.35">
      <c r="C330" s="2" t="s">
        <v>390</v>
      </c>
      <c r="D330" s="3">
        <v>10</v>
      </c>
      <c r="F330" s="2" t="s">
        <v>390</v>
      </c>
      <c r="G330" s="4">
        <v>37.5</v>
      </c>
    </row>
    <row r="331" spans="3:7" x14ac:dyDescent="0.35">
      <c r="C331" s="2" t="s">
        <v>391</v>
      </c>
      <c r="D331" s="3">
        <v>17</v>
      </c>
      <c r="F331" s="2" t="s">
        <v>391</v>
      </c>
      <c r="G331" s="4">
        <v>38.058823529411768</v>
      </c>
    </row>
    <row r="332" spans="3:7" x14ac:dyDescent="0.35">
      <c r="C332" s="2" t="s">
        <v>392</v>
      </c>
      <c r="D332" s="3">
        <v>17</v>
      </c>
      <c r="F332" s="2" t="s">
        <v>392</v>
      </c>
      <c r="G332" s="4">
        <v>28.117647058823529</v>
      </c>
    </row>
    <row r="333" spans="3:7" x14ac:dyDescent="0.35">
      <c r="C333" s="2" t="s">
        <v>393</v>
      </c>
      <c r="D333" s="3">
        <v>13</v>
      </c>
      <c r="F333" s="2" t="s">
        <v>393</v>
      </c>
      <c r="G333" s="4">
        <v>31.846153846153847</v>
      </c>
    </row>
    <row r="334" spans="3:7" x14ac:dyDescent="0.35">
      <c r="C334" s="2" t="s">
        <v>394</v>
      </c>
      <c r="D334" s="3">
        <v>11</v>
      </c>
      <c r="F334" s="2" t="s">
        <v>394</v>
      </c>
      <c r="G334" s="4">
        <v>43.636363636363633</v>
      </c>
    </row>
    <row r="335" spans="3:7" x14ac:dyDescent="0.35">
      <c r="C335" s="2" t="s">
        <v>395</v>
      </c>
      <c r="D335" s="3">
        <v>19</v>
      </c>
      <c r="F335" s="2" t="s">
        <v>395</v>
      </c>
      <c r="G335" s="4">
        <v>38.842105263157897</v>
      </c>
    </row>
    <row r="336" spans="3:7" x14ac:dyDescent="0.35">
      <c r="C336" s="2" t="s">
        <v>396</v>
      </c>
      <c r="D336" s="3">
        <v>16</v>
      </c>
      <c r="F336" s="2" t="s">
        <v>396</v>
      </c>
      <c r="G336" s="4">
        <v>29.5625</v>
      </c>
    </row>
    <row r="337" spans="3:7" x14ac:dyDescent="0.35">
      <c r="C337" s="2" t="s">
        <v>397</v>
      </c>
      <c r="D337" s="3">
        <v>15</v>
      </c>
      <c r="F337" s="2" t="s">
        <v>397</v>
      </c>
      <c r="G337" s="4">
        <v>37.466666666666669</v>
      </c>
    </row>
    <row r="338" spans="3:7" x14ac:dyDescent="0.35">
      <c r="C338" s="2" t="s">
        <v>398</v>
      </c>
      <c r="D338" s="3">
        <v>18</v>
      </c>
      <c r="F338" s="2" t="s">
        <v>398</v>
      </c>
      <c r="G338" s="4">
        <v>35.277777777777779</v>
      </c>
    </row>
    <row r="339" spans="3:7" x14ac:dyDescent="0.35">
      <c r="C339" s="2" t="s">
        <v>7</v>
      </c>
      <c r="D339" s="3">
        <v>16</v>
      </c>
      <c r="F339" s="2" t="s">
        <v>7</v>
      </c>
      <c r="G339" s="4">
        <v>34.5</v>
      </c>
    </row>
    <row r="340" spans="3:7" x14ac:dyDescent="0.35">
      <c r="C340" s="2" t="s">
        <v>8</v>
      </c>
      <c r="D340" s="3">
        <v>15</v>
      </c>
      <c r="F340" s="2" t="s">
        <v>8</v>
      </c>
      <c r="G340" s="4">
        <v>35.4</v>
      </c>
    </row>
    <row r="341" spans="3:7" x14ac:dyDescent="0.35">
      <c r="C341" s="2" t="s">
        <v>9</v>
      </c>
      <c r="D341" s="3">
        <v>14</v>
      </c>
      <c r="F341" s="2" t="s">
        <v>9</v>
      </c>
      <c r="G341" s="4">
        <v>34.928571428571431</v>
      </c>
    </row>
    <row r="342" spans="3:7" x14ac:dyDescent="0.35">
      <c r="C342" s="2" t="s">
        <v>10</v>
      </c>
      <c r="D342" s="3">
        <v>12</v>
      </c>
      <c r="F342" s="2" t="s">
        <v>10</v>
      </c>
      <c r="G342" s="4">
        <v>44.25</v>
      </c>
    </row>
    <row r="343" spans="3:7" x14ac:dyDescent="0.35">
      <c r="C343" s="2" t="s">
        <v>11</v>
      </c>
      <c r="D343" s="3">
        <v>16</v>
      </c>
      <c r="F343" s="2" t="s">
        <v>11</v>
      </c>
      <c r="G343" s="4">
        <v>40.1875</v>
      </c>
    </row>
    <row r="344" spans="3:7" x14ac:dyDescent="0.35">
      <c r="C344" s="2" t="s">
        <v>12</v>
      </c>
      <c r="D344" s="3">
        <v>11</v>
      </c>
      <c r="F344" s="2" t="s">
        <v>12</v>
      </c>
      <c r="G344" s="4">
        <v>35</v>
      </c>
    </row>
    <row r="345" spans="3:7" x14ac:dyDescent="0.35">
      <c r="C345" s="2" t="s">
        <v>13</v>
      </c>
      <c r="D345" s="3">
        <v>7</v>
      </c>
      <c r="F345" s="2" t="s">
        <v>13</v>
      </c>
      <c r="G345" s="4">
        <v>43.142857142857146</v>
      </c>
    </row>
    <row r="346" spans="3:7" x14ac:dyDescent="0.35">
      <c r="C346" s="2" t="s">
        <v>14</v>
      </c>
      <c r="D346" s="3">
        <v>16</v>
      </c>
      <c r="F346" s="2" t="s">
        <v>14</v>
      </c>
      <c r="G346" s="4">
        <v>43.6875</v>
      </c>
    </row>
    <row r="347" spans="3:7" x14ac:dyDescent="0.35">
      <c r="C347" s="2" t="s">
        <v>15</v>
      </c>
      <c r="D347" s="3">
        <v>7</v>
      </c>
      <c r="F347" s="2" t="s">
        <v>15</v>
      </c>
      <c r="G347" s="4">
        <v>33.857142857142854</v>
      </c>
    </row>
    <row r="348" spans="3:7" x14ac:dyDescent="0.35">
      <c r="C348" s="2" t="s">
        <v>16</v>
      </c>
      <c r="D348" s="3">
        <v>16</v>
      </c>
      <c r="F348" s="2" t="s">
        <v>16</v>
      </c>
      <c r="G348" s="4">
        <v>40.1875</v>
      </c>
    </row>
    <row r="349" spans="3:7" x14ac:dyDescent="0.35">
      <c r="C349" s="2" t="s">
        <v>17</v>
      </c>
      <c r="D349" s="3">
        <v>16</v>
      </c>
      <c r="F349" s="2" t="s">
        <v>17</v>
      </c>
      <c r="G349" s="4">
        <v>34.9375</v>
      </c>
    </row>
    <row r="350" spans="3:7" x14ac:dyDescent="0.35">
      <c r="C350" s="2" t="s">
        <v>18</v>
      </c>
      <c r="D350" s="3">
        <v>19</v>
      </c>
      <c r="F350" s="2" t="s">
        <v>18</v>
      </c>
      <c r="G350" s="4">
        <v>28.684210526315791</v>
      </c>
    </row>
    <row r="351" spans="3:7" x14ac:dyDescent="0.35">
      <c r="C351" s="2" t="s">
        <v>19</v>
      </c>
      <c r="D351" s="3">
        <v>10</v>
      </c>
      <c r="F351" s="2" t="s">
        <v>19</v>
      </c>
      <c r="G351" s="4">
        <v>25</v>
      </c>
    </row>
    <row r="352" spans="3:7" x14ac:dyDescent="0.35">
      <c r="C352" s="2" t="s">
        <v>20</v>
      </c>
      <c r="D352" s="3">
        <v>13</v>
      </c>
      <c r="F352" s="2" t="s">
        <v>20</v>
      </c>
      <c r="G352" s="4">
        <v>35.46153846153846</v>
      </c>
    </row>
    <row r="353" spans="3:7" x14ac:dyDescent="0.35">
      <c r="C353" s="2" t="s">
        <v>21</v>
      </c>
      <c r="D353" s="3">
        <v>27</v>
      </c>
      <c r="F353" s="2" t="s">
        <v>21</v>
      </c>
      <c r="G353" s="4">
        <v>33.814814814814817</v>
      </c>
    </row>
    <row r="354" spans="3:7" x14ac:dyDescent="0.35">
      <c r="C354" s="2" t="s">
        <v>22</v>
      </c>
      <c r="D354" s="3">
        <v>19</v>
      </c>
      <c r="F354" s="2" t="s">
        <v>22</v>
      </c>
      <c r="G354" s="4">
        <v>33.631578947368418</v>
      </c>
    </row>
    <row r="355" spans="3:7" x14ac:dyDescent="0.35">
      <c r="C355" s="2" t="s">
        <v>23</v>
      </c>
      <c r="D355" s="3">
        <v>18</v>
      </c>
      <c r="F355" s="2" t="s">
        <v>23</v>
      </c>
      <c r="G355" s="4">
        <v>36.611111111111114</v>
      </c>
    </row>
    <row r="356" spans="3:7" x14ac:dyDescent="0.35">
      <c r="C356" s="2" t="s">
        <v>24</v>
      </c>
      <c r="D356" s="3">
        <v>12</v>
      </c>
      <c r="F356" s="2" t="s">
        <v>24</v>
      </c>
      <c r="G356" s="4">
        <v>30.5</v>
      </c>
    </row>
    <row r="357" spans="3:7" x14ac:dyDescent="0.35">
      <c r="C357" s="2" t="s">
        <v>25</v>
      </c>
      <c r="D357" s="3">
        <v>20</v>
      </c>
      <c r="F357" s="2" t="s">
        <v>25</v>
      </c>
      <c r="G357" s="4">
        <v>33.6</v>
      </c>
    </row>
    <row r="358" spans="3:7" x14ac:dyDescent="0.35">
      <c r="C358" s="2" t="s">
        <v>26</v>
      </c>
      <c r="D358" s="3">
        <v>12</v>
      </c>
      <c r="F358" s="2" t="s">
        <v>26</v>
      </c>
      <c r="G358" s="4">
        <v>26.75</v>
      </c>
    </row>
    <row r="359" spans="3:7" x14ac:dyDescent="0.35">
      <c r="C359" s="2" t="s">
        <v>27</v>
      </c>
      <c r="D359" s="3">
        <v>19</v>
      </c>
      <c r="F359" s="2" t="s">
        <v>27</v>
      </c>
      <c r="G359" s="4">
        <v>37.684210526315788</v>
      </c>
    </row>
    <row r="360" spans="3:7" x14ac:dyDescent="0.35">
      <c r="C360" s="2" t="s">
        <v>28</v>
      </c>
      <c r="D360" s="3">
        <v>18</v>
      </c>
      <c r="F360" s="2" t="s">
        <v>28</v>
      </c>
      <c r="G360" s="4">
        <v>36.611111111111114</v>
      </c>
    </row>
    <row r="361" spans="3:7" x14ac:dyDescent="0.35">
      <c r="C361" s="2" t="s">
        <v>29</v>
      </c>
      <c r="D361" s="3">
        <v>21</v>
      </c>
      <c r="F361" s="2" t="s">
        <v>29</v>
      </c>
      <c r="G361" s="4">
        <v>35.428571428571431</v>
      </c>
    </row>
    <row r="362" spans="3:7" x14ac:dyDescent="0.35">
      <c r="C362" s="2" t="s">
        <v>30</v>
      </c>
      <c r="D362" s="3">
        <v>18</v>
      </c>
      <c r="F362" s="2" t="s">
        <v>30</v>
      </c>
      <c r="G362" s="4">
        <v>31.944444444444443</v>
      </c>
    </row>
    <row r="363" spans="3:7" x14ac:dyDescent="0.35">
      <c r="C363" s="2" t="s">
        <v>31</v>
      </c>
      <c r="D363" s="3">
        <v>16</v>
      </c>
      <c r="F363" s="2" t="s">
        <v>31</v>
      </c>
      <c r="G363" s="4">
        <v>31.875</v>
      </c>
    </row>
    <row r="364" spans="3:7" x14ac:dyDescent="0.35">
      <c r="C364" s="2" t="s">
        <v>32</v>
      </c>
      <c r="D364" s="3">
        <v>14</v>
      </c>
      <c r="F364" s="2" t="s">
        <v>32</v>
      </c>
      <c r="G364" s="4">
        <v>28.642857142857142</v>
      </c>
    </row>
    <row r="365" spans="3:7" x14ac:dyDescent="0.35">
      <c r="C365" s="2" t="s">
        <v>33</v>
      </c>
      <c r="D365" s="3">
        <v>14</v>
      </c>
      <c r="F365" s="2" t="s">
        <v>33</v>
      </c>
      <c r="G365" s="4">
        <v>39.214285714285715</v>
      </c>
    </row>
    <row r="366" spans="3:7" x14ac:dyDescent="0.35">
      <c r="C366" s="2" t="s">
        <v>34</v>
      </c>
      <c r="D366" s="3">
        <v>16</v>
      </c>
      <c r="F366" s="2" t="s">
        <v>34</v>
      </c>
      <c r="G366" s="4">
        <v>32.0625</v>
      </c>
    </row>
    <row r="367" spans="3:7" x14ac:dyDescent="0.35">
      <c r="C367" s="2" t="s">
        <v>35</v>
      </c>
      <c r="D367" s="3">
        <v>21</v>
      </c>
      <c r="F367" s="2" t="s">
        <v>35</v>
      </c>
      <c r="G367" s="4">
        <v>28.285714285714285</v>
      </c>
    </row>
    <row r="368" spans="3:7" x14ac:dyDescent="0.35">
      <c r="C368" s="2" t="s">
        <v>36</v>
      </c>
      <c r="D368" s="3">
        <v>21</v>
      </c>
      <c r="F368" s="2" t="s">
        <v>36</v>
      </c>
      <c r="G368" s="4">
        <v>35.476190476190474</v>
      </c>
    </row>
    <row r="369" spans="1:7" x14ac:dyDescent="0.35">
      <c r="C369" s="2" t="s">
        <v>37</v>
      </c>
      <c r="D369" s="3">
        <v>15</v>
      </c>
      <c r="F369" s="2" t="s">
        <v>37</v>
      </c>
      <c r="G369" s="4">
        <v>39.799999999999997</v>
      </c>
    </row>
    <row r="370" spans="1:7" x14ac:dyDescent="0.35">
      <c r="C370" s="2" t="s">
        <v>2</v>
      </c>
      <c r="D370" s="3">
        <v>9216</v>
      </c>
      <c r="F370" s="2" t="s">
        <v>2</v>
      </c>
      <c r="G370" s="4">
        <v>35.259874131944443</v>
      </c>
    </row>
    <row r="376" spans="1:7" x14ac:dyDescent="0.35">
      <c r="A376" s="1" t="s">
        <v>1</v>
      </c>
      <c r="B376" t="s">
        <v>40</v>
      </c>
      <c r="C376" t="s">
        <v>43</v>
      </c>
    </row>
    <row r="377" spans="1:7" x14ac:dyDescent="0.35">
      <c r="A377" s="2" t="s">
        <v>41</v>
      </c>
      <c r="B377" s="6">
        <v>4612</v>
      </c>
      <c r="C377" s="7">
        <v>0.50043402777777779</v>
      </c>
    </row>
    <row r="378" spans="1:7" x14ac:dyDescent="0.35">
      <c r="A378" s="2" t="s">
        <v>42</v>
      </c>
      <c r="B378" s="6">
        <v>4604</v>
      </c>
      <c r="C378" s="7">
        <v>0.49956597222222221</v>
      </c>
    </row>
    <row r="379" spans="1:7" x14ac:dyDescent="0.35">
      <c r="A379" s="2" t="s">
        <v>2</v>
      </c>
      <c r="B379" s="6">
        <v>9216</v>
      </c>
      <c r="C379" s="7">
        <v>1</v>
      </c>
    </row>
    <row r="383" spans="1:7" x14ac:dyDescent="0.35">
      <c r="A383" s="8" t="s">
        <v>44</v>
      </c>
      <c r="B383" s="8" t="s">
        <v>45</v>
      </c>
      <c r="C383" s="8" t="s">
        <v>46</v>
      </c>
      <c r="D383" s="8"/>
    </row>
    <row r="384" spans="1:7" x14ac:dyDescent="0.35">
      <c r="A384" s="9" t="str">
        <f>A378</f>
        <v>Not Admitted</v>
      </c>
      <c r="B384" s="9">
        <f>B378</f>
        <v>4604</v>
      </c>
      <c r="C384" s="10">
        <f>C378</f>
        <v>0.49956597222222221</v>
      </c>
      <c r="D384" s="9"/>
    </row>
    <row r="385" spans="1:4" x14ac:dyDescent="0.35">
      <c r="A385" s="9" t="str">
        <f>A377</f>
        <v>Admitted</v>
      </c>
      <c r="B385" s="9">
        <f>B377</f>
        <v>4612</v>
      </c>
      <c r="C385" s="10">
        <f>C377</f>
        <v>0.50043402777777779</v>
      </c>
      <c r="D385" s="9"/>
    </row>
    <row r="387" spans="1:4" x14ac:dyDescent="0.35">
      <c r="A387" t="s">
        <v>56</v>
      </c>
    </row>
    <row r="388" spans="1:4" x14ac:dyDescent="0.35">
      <c r="A388" s="1" t="s">
        <v>1</v>
      </c>
      <c r="B388" t="s">
        <v>55</v>
      </c>
    </row>
    <row r="389" spans="1:4" x14ac:dyDescent="0.35">
      <c r="A389" s="2" t="s">
        <v>47</v>
      </c>
      <c r="B389" s="6">
        <v>1176</v>
      </c>
    </row>
    <row r="390" spans="1:4" x14ac:dyDescent="0.35">
      <c r="A390" s="2" t="s">
        <v>48</v>
      </c>
      <c r="B390" s="6">
        <v>1160</v>
      </c>
    </row>
    <row r="391" spans="1:4" x14ac:dyDescent="0.35">
      <c r="A391" s="2" t="s">
        <v>49</v>
      </c>
      <c r="B391" s="6">
        <v>1207</v>
      </c>
    </row>
    <row r="392" spans="1:4" x14ac:dyDescent="0.35">
      <c r="A392" s="2" t="s">
        <v>50</v>
      </c>
      <c r="B392" s="6">
        <v>1191</v>
      </c>
    </row>
    <row r="393" spans="1:4" x14ac:dyDescent="0.35">
      <c r="A393" s="2" t="s">
        <v>51</v>
      </c>
      <c r="B393" s="6">
        <v>1137</v>
      </c>
    </row>
    <row r="394" spans="1:4" x14ac:dyDescent="0.35">
      <c r="A394" s="2" t="s">
        <v>52</v>
      </c>
      <c r="B394" s="6">
        <v>1147</v>
      </c>
    </row>
    <row r="395" spans="1:4" x14ac:dyDescent="0.35">
      <c r="A395" s="2" t="s">
        <v>53</v>
      </c>
      <c r="B395" s="6">
        <v>1150</v>
      </c>
    </row>
    <row r="396" spans="1:4" x14ac:dyDescent="0.35">
      <c r="A396" s="2" t="s">
        <v>54</v>
      </c>
      <c r="B396" s="6">
        <v>1048</v>
      </c>
    </row>
    <row r="397" spans="1:4" x14ac:dyDescent="0.35">
      <c r="A397" s="2" t="s">
        <v>2</v>
      </c>
      <c r="B397" s="6">
        <v>9216</v>
      </c>
    </row>
    <row r="399" spans="1:4" x14ac:dyDescent="0.35">
      <c r="A399" s="2" t="s">
        <v>304</v>
      </c>
    </row>
    <row r="400" spans="1:4" x14ac:dyDescent="0.35">
      <c r="A400" s="1" t="s">
        <v>1</v>
      </c>
      <c r="B400" t="s">
        <v>59</v>
      </c>
    </row>
    <row r="401" spans="1:2" x14ac:dyDescent="0.35">
      <c r="A401" s="2" t="s">
        <v>57</v>
      </c>
      <c r="B401" s="6">
        <v>5684</v>
      </c>
    </row>
    <row r="402" spans="1:2" x14ac:dyDescent="0.35">
      <c r="A402" s="2" t="s">
        <v>58</v>
      </c>
      <c r="B402" s="6">
        <v>3532</v>
      </c>
    </row>
    <row r="403" spans="1:2" x14ac:dyDescent="0.35">
      <c r="A403" s="2" t="s">
        <v>2</v>
      </c>
      <c r="B403" s="6">
        <v>9216</v>
      </c>
    </row>
    <row r="406" spans="1:2" x14ac:dyDescent="0.35">
      <c r="A406" s="2" t="s">
        <v>399</v>
      </c>
    </row>
    <row r="407" spans="1:2" x14ac:dyDescent="0.35">
      <c r="A407" s="1" t="s">
        <v>1</v>
      </c>
      <c r="B407" t="s">
        <v>307</v>
      </c>
    </row>
    <row r="408" spans="1:2" x14ac:dyDescent="0.35">
      <c r="A408" s="2" t="s">
        <v>305</v>
      </c>
      <c r="B408" s="6">
        <v>4487</v>
      </c>
    </row>
    <row r="409" spans="1:2" x14ac:dyDescent="0.35">
      <c r="A409" s="2" t="s">
        <v>306</v>
      </c>
      <c r="B409" s="6">
        <v>4729</v>
      </c>
    </row>
    <row r="410" spans="1:2" x14ac:dyDescent="0.35">
      <c r="A410" s="2" t="s">
        <v>2</v>
      </c>
      <c r="B410" s="6">
        <v>9216</v>
      </c>
    </row>
    <row r="414" spans="1:2" x14ac:dyDescent="0.35">
      <c r="A414" s="1" t="s">
        <v>1</v>
      </c>
      <c r="B414" t="s">
        <v>408</v>
      </c>
    </row>
    <row r="415" spans="1:2" x14ac:dyDescent="0.35">
      <c r="A415" s="2" t="s">
        <v>407</v>
      </c>
      <c r="B415" s="6">
        <v>86</v>
      </c>
    </row>
    <row r="416" spans="1:2" x14ac:dyDescent="0.35">
      <c r="A416" s="2" t="s">
        <v>401</v>
      </c>
      <c r="B416" s="6">
        <v>178</v>
      </c>
    </row>
    <row r="417" spans="1:2" x14ac:dyDescent="0.35">
      <c r="A417" s="2" t="s">
        <v>403</v>
      </c>
      <c r="B417" s="6">
        <v>193</v>
      </c>
    </row>
    <row r="418" spans="1:2" x14ac:dyDescent="0.35">
      <c r="A418" s="2" t="s">
        <v>400</v>
      </c>
      <c r="B418" s="6">
        <v>248</v>
      </c>
    </row>
    <row r="419" spans="1:2" x14ac:dyDescent="0.35">
      <c r="A419" s="2" t="s">
        <v>406</v>
      </c>
      <c r="B419" s="6">
        <v>276</v>
      </c>
    </row>
    <row r="420" spans="1:2" x14ac:dyDescent="0.35">
      <c r="A420" s="2" t="s">
        <v>405</v>
      </c>
      <c r="B420" s="6">
        <v>995</v>
      </c>
    </row>
    <row r="421" spans="1:2" x14ac:dyDescent="0.35">
      <c r="A421" s="2" t="s">
        <v>402</v>
      </c>
      <c r="B421" s="6">
        <v>1840</v>
      </c>
    </row>
    <row r="422" spans="1:2" x14ac:dyDescent="0.35">
      <c r="A422" s="2" t="s">
        <v>404</v>
      </c>
      <c r="B422" s="6">
        <v>5400</v>
      </c>
    </row>
    <row r="423" spans="1:2" x14ac:dyDescent="0.35">
      <c r="A423" s="2" t="s">
        <v>2</v>
      </c>
      <c r="B423" s="6">
        <v>9216</v>
      </c>
    </row>
    <row r="428" spans="1:2" x14ac:dyDescent="0.35">
      <c r="A428" s="1" t="s">
        <v>1</v>
      </c>
    </row>
    <row r="429" spans="1:2" x14ac:dyDescent="0.35">
      <c r="A429" s="2" t="s">
        <v>409</v>
      </c>
    </row>
    <row r="430" spans="1:2" x14ac:dyDescent="0.35">
      <c r="A430" s="2" t="s">
        <v>410</v>
      </c>
    </row>
    <row r="431" spans="1:2" x14ac:dyDescent="0.35">
      <c r="A431" s="2" t="s">
        <v>2</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2A330-2ADD-4A16-B1BD-B95F26F85764}">
  <dimension ref="K14"/>
  <sheetViews>
    <sheetView tabSelected="1" zoomScaleNormal="100" workbookViewId="0">
      <selection activeCell="R13" sqref="R13"/>
    </sheetView>
  </sheetViews>
  <sheetFormatPr defaultRowHeight="14.5" x14ac:dyDescent="0.35"/>
  <cols>
    <col min="1" max="16384" width="8.7265625" style="11"/>
  </cols>
  <sheetData>
    <row r="14" spans="11:11" x14ac:dyDescent="0.35">
      <c r="K14" s="11" t="s">
        <v>0</v>
      </c>
    </row>
  </sheetData>
  <sheetProtection algorithmName="SHA-512" hashValue="m6oWCGj7YMRjlDmoFHhgSywH1cS2t/tTIU8XsMPEj7ktt7xgx1jxhzD9q2G7zAmfI93NDXCGLCMFT9kwYLlhRQ==" saltValue="KOABfST9a0iFnM3MGganQQ==" spinCount="100000" sheet="1" objects="1" scenarios="1"/>
  <pageMargins left="0.7" right="0.7" top="0.75" bottom="0.75" header="0.3" footer="0.3"/>
  <pageSetup paperSize="9" orientation="portrait" r:id="rId1"/>
  <drawing r:id="rId2"/>
  <legacy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E574D8EE-521C-45BD-BBF2-E3A5D603CD77}">
  <ds:schemaRefs/>
</ds:datastoreItem>
</file>

<file path=customXml/itemProps2.xml><?xml version="1.0" encoding="utf-8"?>
<ds:datastoreItem xmlns:ds="http://schemas.openxmlformats.org/officeDocument/2006/customXml" ds:itemID="{705FAD30-BC34-474D-A7ED-4C547A5D4E3C}">
  <ds:schemaRefs/>
</ds:datastoreItem>
</file>

<file path=customXml/itemProps3.xml><?xml version="1.0" encoding="utf-8"?>
<ds:datastoreItem xmlns:ds="http://schemas.openxmlformats.org/officeDocument/2006/customXml" ds:itemID="{0FEAE992-516A-4069-B612-7F5549E4BB92}">
  <ds:schemaRefs/>
</ds:datastoreItem>
</file>

<file path=customXml/itemProps4.xml><?xml version="1.0" encoding="utf-8"?>
<ds:datastoreItem xmlns:ds="http://schemas.openxmlformats.org/officeDocument/2006/customXml" ds:itemID="{4D4927A2-410D-4739-9FFB-BEEE4E3D3E50}">
  <ds:schemaRefs/>
</ds:datastoreItem>
</file>

<file path=customXml/itemProps5.xml><?xml version="1.0" encoding="utf-8"?>
<ds:datastoreItem xmlns:ds="http://schemas.openxmlformats.org/officeDocument/2006/customXml" ds:itemID="{C41A1416-DFB6-41EB-95BB-CC3F36C6E7F9}">
  <ds:schemaRefs/>
</ds:datastoreItem>
</file>

<file path=customXml/itemProps6.xml><?xml version="1.0" encoding="utf-8"?>
<ds:datastoreItem xmlns:ds="http://schemas.openxmlformats.org/officeDocument/2006/customXml" ds:itemID="{4E18CB1C-4D7C-4A66-95B9-4BF63389D714}">
  <ds:schemaRefs/>
</ds:datastoreItem>
</file>

<file path=customXml/itemProps7.xml><?xml version="1.0" encoding="utf-8"?>
<ds:datastoreItem xmlns:ds="http://schemas.openxmlformats.org/officeDocument/2006/customXml" ds:itemID="{83FBF9E3-677B-4BE1-888A-A8134C500C74}">
  <ds:schemaRefs/>
</ds:datastoreItem>
</file>

<file path=customXml/itemProps8.xml><?xml version="1.0" encoding="utf-8"?>
<ds:datastoreItem xmlns:ds="http://schemas.openxmlformats.org/officeDocument/2006/customXml" ds:itemID="{D055EA01-AE77-489E-84A8-42020F6C848E}">
  <ds:schemaRefs/>
</ds:datastoreItem>
</file>

<file path=customXml/itemProps9.xml><?xml version="1.0" encoding="utf-8"?>
<ds:datastoreItem xmlns:ds="http://schemas.openxmlformats.org/officeDocument/2006/customXml" ds:itemID="{E2012196-E8F5-48BE-9E61-0CA63A111353}">
  <ds:schemaRefs/>
</ds:datastoreItem>
</file>

<file path=customXml/itemProps10.xml><?xml version="1.0" encoding="utf-8"?>
<ds:datastoreItem xmlns:ds="http://schemas.openxmlformats.org/officeDocument/2006/customXml" ds:itemID="{57E82BF6-48B7-4452-97C7-D3E3494D664A}">
  <ds:schemaRefs>
    <ds:schemaRef ds:uri="http://schemas.microsoft.com/DataMashup"/>
  </ds:schemaRefs>
</ds:datastoreItem>
</file>

<file path=customXml/itemProps11.xml><?xml version="1.0" encoding="utf-8"?>
<ds:datastoreItem xmlns:ds="http://schemas.openxmlformats.org/officeDocument/2006/customXml" ds:itemID="{4DD405F9-44D5-41DD-BC23-B8CF15162F85}">
  <ds:schemaRefs/>
</ds:datastoreItem>
</file>

<file path=customXml/itemProps12.xml><?xml version="1.0" encoding="utf-8"?>
<ds:datastoreItem xmlns:ds="http://schemas.openxmlformats.org/officeDocument/2006/customXml" ds:itemID="{61840AA3-43C6-4B7B-A656-40F437BB906C}">
  <ds:schemaRefs/>
</ds:datastoreItem>
</file>

<file path=customXml/itemProps13.xml><?xml version="1.0" encoding="utf-8"?>
<ds:datastoreItem xmlns:ds="http://schemas.openxmlformats.org/officeDocument/2006/customXml" ds:itemID="{4F2CFBD4-9F62-43F0-8371-6D0BD165C23D}">
  <ds:schemaRefs/>
</ds:datastoreItem>
</file>

<file path=customXml/itemProps14.xml><?xml version="1.0" encoding="utf-8"?>
<ds:datastoreItem xmlns:ds="http://schemas.openxmlformats.org/officeDocument/2006/customXml" ds:itemID="{C25E73B6-752C-4AEF-9320-03D27FAA3AEF}">
  <ds:schemaRefs/>
</ds:datastoreItem>
</file>

<file path=customXml/itemProps15.xml><?xml version="1.0" encoding="utf-8"?>
<ds:datastoreItem xmlns:ds="http://schemas.openxmlformats.org/officeDocument/2006/customXml" ds:itemID="{3F93966A-32FD-4E8C-ACE3-DD8971550755}">
  <ds:schemaRefs/>
</ds:datastoreItem>
</file>

<file path=customXml/itemProps16.xml><?xml version="1.0" encoding="utf-8"?>
<ds:datastoreItem xmlns:ds="http://schemas.openxmlformats.org/officeDocument/2006/customXml" ds:itemID="{3F3764E2-E67E-49D8-9149-138E904B0F75}">
  <ds:schemaRefs/>
</ds:datastoreItem>
</file>

<file path=customXml/itemProps17.xml><?xml version="1.0" encoding="utf-8"?>
<ds:datastoreItem xmlns:ds="http://schemas.openxmlformats.org/officeDocument/2006/customXml" ds:itemID="{39B1A1A1-50DE-40FB-88B2-24AA01F2695F}">
  <ds:schemaRefs/>
</ds:datastoreItem>
</file>

<file path=customXml/itemProps18.xml><?xml version="1.0" encoding="utf-8"?>
<ds:datastoreItem xmlns:ds="http://schemas.openxmlformats.org/officeDocument/2006/customXml" ds:itemID="{8A938C50-693E-4284-8BDB-42C26301A07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Pivote report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2026-05-19T14:18:59Z</dcterms:created>
  <dcterms:modified xsi:type="dcterms:W3CDTF">2026-06-15T02:29:09Z</dcterms:modified>
</cp:coreProperties>
</file>